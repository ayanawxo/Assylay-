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F2C61396-26D8-4B64-BC4F-EFE2A27EE863}" xr6:coauthVersionLast="36" xr6:coauthVersionMax="36" xr10:uidLastSave="{00000000-0000-0000-0000-000000000000}"/>
  <bookViews>
    <workbookView xWindow="480" yWindow="50" windowWidth="14360" windowHeight="8250" xr2:uid="{00000000-000D-0000-FFFF-FFFF00000000}"/>
  </bookViews>
  <sheets>
    <sheet name="task" sheetId="6" r:id="rId1"/>
    <sheet name="data" sheetId="5" r:id="rId2"/>
    <sheet name="result" sheetId="7" r:id="rId6"/>
  </sheets>
  <calcPr calcId="191029" fullCalcOnLoad="1"/>
</workbook>
</file>

<file path=xl/sharedStrings.xml><?xml version="1.0" encoding="utf-8"?>
<sst xmlns="http://schemas.openxmlformats.org/spreadsheetml/2006/main" count="516" uniqueCount="36">
  <si>
    <t>Home</t>
  </si>
  <si>
    <t>Away</t>
  </si>
  <si>
    <t>Home Points</t>
  </si>
  <si>
    <t>Away Points</t>
  </si>
  <si>
    <t>Pittsburgh Steelers</t>
  </si>
  <si>
    <t>Tennessee Titans</t>
  </si>
  <si>
    <t>Atlanta Falcons</t>
  </si>
  <si>
    <t>Miami Dolphins</t>
  </si>
  <si>
    <t>Seattle Seahawks</t>
  </si>
  <si>
    <t>St. Louis Rams</t>
  </si>
  <si>
    <t>New York Giants</t>
  </si>
  <si>
    <t>Washington Redskins</t>
  </si>
  <si>
    <t>Baltimore Ravens</t>
  </si>
  <si>
    <t>Kansas City Chiefs</t>
  </si>
  <si>
    <t>Houston Texans</t>
  </si>
  <si>
    <t>New York Jets</t>
  </si>
  <si>
    <t>New Orleans Saints</t>
  </si>
  <si>
    <t>Detroit Lions</t>
  </si>
  <si>
    <t>Tampa Bay Buccaneers</t>
  </si>
  <si>
    <t>Dallas Cowboys</t>
  </si>
  <si>
    <t>Arizona Cardinals</t>
  </si>
  <si>
    <t>San Francisco 49ers</t>
  </si>
  <si>
    <t>Carolina Panthers</t>
  </si>
  <si>
    <t>Philadelphia Eagles</t>
  </si>
  <si>
    <t>Green Bay Packers</t>
  </si>
  <si>
    <t>Chicago Bears</t>
  </si>
  <si>
    <t>Cincinnati Bengals</t>
  </si>
  <si>
    <t>Denver Broncos</t>
  </si>
  <si>
    <t>Cleveland Browns</t>
  </si>
  <si>
    <t>Minnesota Vikings</t>
  </si>
  <si>
    <t>Indianapolis Colts</t>
  </si>
  <si>
    <t>Jacksonville Jaguars</t>
  </si>
  <si>
    <t>Oakland Raiders</t>
  </si>
  <si>
    <t>San Diego Chargers</t>
  </si>
  <si>
    <t>New England Patriots</t>
  </si>
  <si>
    <t>Buffalo Bills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</si>
</sst>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W&quot;;&quot;L&quot;;&quot;T&quot;"/>
  </numFmts>
  <fonts count="4" x14ac:knownFonts="1">
    <font>
      <sz val="11"/>
      <color theme="1"/>
      <name val="Calibri"/>
      <family val="2"/>
      <scheme val="minor"/>
    </font>
    <font>
      <i/>
      <sz val="11"/>
      <color theme="1"/>
      <name val="Calibri"/>
      <family val="2"/>
      <charset val="204"/>
      <scheme val="minor"/>
    </font>
    <font>
      <b/>
      <sz val="11"/>
      <color theme="1"/>
      <name val="Calibri"/>
      <family val="2"/>
      <scheme val="minor"/>
    </font>
    <font>
      <i/>
      <sz val="11"/>
      <color rgb="FF7F7F7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center" vertical="center" wrapText="1"/>
    </xf>
    <xf numFmtId="164" fontId="0" fillId="0" borderId="0" xfId="0" applyNumberFormat="1" applyAlignment="1">
      <alignment horizontal="center"/>
    </xf>
    <xf numFmtId="0" fontId="3" fillId="0" borderId="0" xfId="0" applyFont="1"/>
    <xf numFmtId="0" fontId="2" fillId="0" borderId="0" xfId="0" applyFont="1"/>
  </cellXfs>
  <cellStyles count="1">
    <cellStyle name="Normal" xfId="0" builtinId="0"/>
  </cellStyles>
  <dxfs count="2">
    <dxf>
      <font>
        <color rgb="FFFFFFFF"/>
      </font>
      <fill>
        <patternFill>
          <bgColor rgb="FF376092"/>
        </patternFill>
      </fill>
    </dxf>
    <dxf>
      <font>
        <color rgb="FFFFFFFF"/>
      </font>
      <fill>
        <patternFill>
          <bgColor rgb="FFD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238125</xdr:colOff>
      <xdr:row>0</xdr:row>
      <xdr:rowOff>116417</xdr:rowOff>
    </xdr:from>
    <xdr:to>
      <xdr:col>7</xdr:col>
      <xdr:colOff>317500</xdr:colOff>
      <xdr:row>19</xdr:row>
      <xdr:rowOff>74084</xdr:rowOff>
    </xdr:to>
    <xdr:grpSp>
      <xdr:nvGrpSpPr>
        <xdr:cNvPr id="7" name="Group 6">
          <a:extLst>
            <a:ext uri="{FF2B5EF4-FFF2-40B4-BE49-F238E27FC236}">
              <a16:creationId xmlns:a16="http://schemas.microsoft.com/office/drawing/2014/main" id="{9C74E39B-40FC-4DCF-8114-EA0289F56B0B}"/>
            </a:ext>
          </a:extLst>
        </xdr:cNvPr>
        <xdr:cNvGrpSpPr/>
      </xdr:nvGrpSpPr>
      <xdr:grpSpPr>
        <a:xfrm>
          <a:off x="238125" y="116417"/>
          <a:ext cx="4339167" cy="3476625"/>
          <a:chOff x="238125" y="116417"/>
          <a:chExt cx="4339167" cy="3476625"/>
        </a:xfrm>
      </xdr:grpSpPr>
      <xdr:sp macro="" textlink="">
        <xdr:nvSpPr>
          <xdr:cNvPr id="2" name="TextBox 1">
            <a:extLst>
              <a:ext uri="{FF2B5EF4-FFF2-40B4-BE49-F238E27FC236}">
                <a16:creationId xmlns:a16="http://schemas.microsoft.com/office/drawing/2014/main" id="{BDCAF171-AFA8-4126-B25D-08DCA89E8ECA}"/>
              </a:ext>
            </a:extLst>
          </xdr:cNvPr>
          <xdr:cNvSpPr txBox="1"/>
        </xdr:nvSpPr>
        <xdr:spPr>
          <a:xfrm>
            <a:off x="238125" y="116417"/>
            <a:ext cx="4339167" cy="3476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sheet "data" contains the results of 16 games for</a:t>
            </a:r>
            <a:r>
              <a:rPr lang="en-US" sz="1100" baseline="0"/>
              <a:t> 32 teams</a:t>
            </a:r>
            <a:r>
              <a:rPr lang="en-US" sz="1100"/>
              <a:t> in a particular season of NFL (National</a:t>
            </a:r>
            <a:r>
              <a:rPr lang="en-US" sz="1100" baseline="0"/>
              <a:t> Football Leage in the U.S.). For example, the first row shows that Pittsburgh Steelers won over Tennessee Titans with the score 13 to 10. The games are listed in the chronological order as they were played throughout the season. Your goal is to produce alphabetically sorted list of teams and visually represent the season for each team. For example, Pittsburgh Steelers's season is represented below. The graphics represents the timeline, blue bars are wins, red bars are losses. The team started the season with a win, followed by two losees, then five wins, five losses, and three wins (16 games total).</a:t>
            </a:r>
          </a:p>
          <a:p>
            <a:endParaRPr lang="en-US" sz="1100" baseline="0"/>
          </a:p>
          <a:p>
            <a:endParaRPr lang="en-US" sz="1100" baseline="0"/>
          </a:p>
          <a:p>
            <a:endParaRPr lang="en-US" sz="1100" baseline="0"/>
          </a:p>
          <a:p>
            <a:r>
              <a:rPr lang="en-US" sz="1100" baseline="0"/>
              <a:t>Hint: Point your phone's camera at the graphics and ask Google Lense what it is and how to do it in Excel.</a:t>
            </a:r>
          </a:p>
        </xdr:txBody>
      </xdr:sp>
      <xdr:pic>
        <xdr:nvPicPr>
          <xdr:cNvPr id="4" name="Picture 3">
            <a:extLst>
              <a:ext uri="{FF2B5EF4-FFF2-40B4-BE49-F238E27FC236}">
                <a16:creationId xmlns:a16="http://schemas.microsoft.com/office/drawing/2014/main" id="{AB3E0EE1-571D-49E5-8E84-3BBF8A5D5F29}"/>
              </a:ext>
            </a:extLst>
          </xdr:cNvPr>
          <xdr:cNvPicPr>
            <a:picLocks noChangeAspect="1"/>
          </xdr:cNvPicPr>
        </xdr:nvPicPr>
        <xdr:blipFill>
          <a:blip xmlns:r="http://schemas.openxmlformats.org/officeDocument/2006/relationships" r:embed="rId1"/>
          <a:stretch>
            <a:fillRect/>
          </a:stretch>
        </xdr:blipFill>
        <xdr:spPr>
          <a:xfrm>
            <a:off x="423334" y="2159000"/>
            <a:ext cx="3836459" cy="281727"/>
          </a:xfrm>
          <a:prstGeom prst="rect">
            <a:avLst/>
          </a:prstGeom>
        </xdr:spPr>
      </xdr:pic>
    </xdr:grpSp>
    <xdr:clientData/>
  </xdr:twoCellAnchor>
  <xdr:twoCellAnchor>
    <xdr:from>
      <xdr:col>8</xdr:col>
      <xdr:colOff>83608</xdr:colOff>
      <xdr:row>0</xdr:row>
      <xdr:rowOff>115358</xdr:rowOff>
    </xdr:from>
    <xdr:to>
      <xdr:col>15</xdr:col>
      <xdr:colOff>162983</xdr:colOff>
      <xdr:row>21</xdr:row>
      <xdr:rowOff>63500</xdr:rowOff>
    </xdr:to>
    <xdr:grpSp>
      <xdr:nvGrpSpPr>
        <xdr:cNvPr id="8" name="Group 7">
          <a:extLst>
            <a:ext uri="{FF2B5EF4-FFF2-40B4-BE49-F238E27FC236}">
              <a16:creationId xmlns:a16="http://schemas.microsoft.com/office/drawing/2014/main" id="{D6F84DAE-924D-487A-B139-F924A236AF9E}"/>
            </a:ext>
          </a:extLst>
        </xdr:cNvPr>
        <xdr:cNvGrpSpPr/>
      </xdr:nvGrpSpPr>
      <xdr:grpSpPr>
        <a:xfrm>
          <a:off x="4951941" y="115358"/>
          <a:ext cx="4339167" cy="3837517"/>
          <a:chOff x="4951941" y="115358"/>
          <a:chExt cx="4339167" cy="3837517"/>
        </a:xfrm>
      </xdr:grpSpPr>
      <xdr:sp macro="" textlink="">
        <xdr:nvSpPr>
          <xdr:cNvPr id="5" name="TextBox 4">
            <a:extLst>
              <a:ext uri="{FF2B5EF4-FFF2-40B4-BE49-F238E27FC236}">
                <a16:creationId xmlns:a16="http://schemas.microsoft.com/office/drawing/2014/main" id="{91BDF963-5B9C-4C2C-A5EB-1D4DF6D649B3}"/>
              </a:ext>
            </a:extLst>
          </xdr:cNvPr>
          <xdr:cNvSpPr txBox="1"/>
        </xdr:nvSpPr>
        <xdr:spPr>
          <a:xfrm>
            <a:off x="4951941" y="115358"/>
            <a:ext cx="4339167" cy="3837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aseline="0"/>
              <a:t>Лист «</a:t>
            </a:r>
            <a:r>
              <a:rPr lang="en-US" sz="1100" baseline="0"/>
              <a:t>data» </a:t>
            </a:r>
            <a:r>
              <a:rPr lang="ru-RU" sz="1100" baseline="0"/>
              <a:t>содержит результаты 16 игр для 32 команд в определённом сезоне НФЛ (Национальной футбольной лиги США). Например, в первой строке показано, что команда </a:t>
            </a:r>
            <a:r>
              <a:rPr lang="en-US" sz="1100" baseline="0"/>
              <a:t>Pittsburgh Steelers </a:t>
            </a:r>
            <a:r>
              <a:rPr lang="ru-RU" sz="1100" baseline="0"/>
              <a:t>победила </a:t>
            </a:r>
            <a:r>
              <a:rPr lang="en-US" sz="1100" baseline="0"/>
              <a:t>Tennessee Titans </a:t>
            </a:r>
            <a:r>
              <a:rPr lang="ru-RU" sz="1100" baseline="0"/>
              <a:t>со счётом 13:10. Игры расположены в хронологическом порядке</a:t>
            </a:r>
            <a:r>
              <a:rPr lang="en-US" sz="1100" baseline="0"/>
              <a:t>, </a:t>
            </a:r>
            <a:r>
              <a:rPr lang="ru-RU" sz="1100" baseline="0"/>
              <a:t>т.е. в том порядке, в котором они проходили в течение сезона. Ваша задача — составить список команд в алфавитном порядке и визуально представить сезон каждой команды. Например, сезон команды </a:t>
            </a:r>
            <a:r>
              <a:rPr lang="en-US" sz="1100" baseline="0"/>
              <a:t>Pittsburgh Steelers </a:t>
            </a:r>
            <a:r>
              <a:rPr lang="ru-RU" sz="1100" baseline="0"/>
              <a:t>представлен ниже. График показывает хронологию игр: синие полосы обозначают победы, а красные — поражения. Команда начала сезон с победы, затем потерпела два поражения, после чего одержала пять побед, потерпела пять поражений и завершила сезон тремя победами (всего 16 игр).</a:t>
            </a:r>
          </a:p>
          <a:p>
            <a:endParaRPr lang="en-US" sz="1100" baseline="0"/>
          </a:p>
          <a:p>
            <a:endParaRPr lang="en-US" b="0"/>
          </a:p>
          <a:p>
            <a:endParaRPr lang="en-US" b="0"/>
          </a:p>
          <a:p>
            <a:r>
              <a:rPr lang="ru-RU" b="0"/>
              <a:t>Подсказка:</a:t>
            </a:r>
          </a:p>
          <a:p>
            <a:endParaRPr lang="en-US" b="0"/>
          </a:p>
          <a:p>
            <a:r>
              <a:rPr lang="ru-RU" b="0"/>
              <a:t>Наведите камеру телефона на график и спросите </a:t>
            </a:r>
            <a:r>
              <a:rPr lang="en-US" b="0"/>
              <a:t>Google Lens, </a:t>
            </a:r>
            <a:r>
              <a:rPr lang="ru-RU" b="0"/>
              <a:t>что это за график и как создать такой график в </a:t>
            </a:r>
            <a:r>
              <a:rPr lang="en-US" b="0"/>
              <a:t>Excel.</a:t>
            </a:r>
          </a:p>
          <a:p>
            <a:endParaRPr lang="en-US" sz="1100" baseline="0"/>
          </a:p>
        </xdr:txBody>
      </xdr:sp>
      <xdr:pic>
        <xdr:nvPicPr>
          <xdr:cNvPr id="6" name="Picture 5">
            <a:extLst>
              <a:ext uri="{FF2B5EF4-FFF2-40B4-BE49-F238E27FC236}">
                <a16:creationId xmlns:a16="http://schemas.microsoft.com/office/drawing/2014/main" id="{FFB058B3-0BD4-434D-AEF0-D752FD4074C7}"/>
              </a:ext>
            </a:extLst>
          </xdr:cNvPr>
          <xdr:cNvPicPr>
            <a:picLocks noChangeAspect="1"/>
          </xdr:cNvPicPr>
        </xdr:nvPicPr>
        <xdr:blipFill>
          <a:blip xmlns:r="http://schemas.openxmlformats.org/officeDocument/2006/relationships" r:embed="rId1"/>
          <a:stretch>
            <a:fillRect/>
          </a:stretch>
        </xdr:blipFill>
        <xdr:spPr>
          <a:xfrm>
            <a:off x="5158317" y="2491317"/>
            <a:ext cx="3836459" cy="281727"/>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0D9A-1DAB-403F-9802-C83FF2244DED}">
  <dimension ref="A1"/>
  <sheetViews>
    <sheetView tabSelected="1" zoomScale="120" zoomScaleNormal="120"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627D-ABA2-46EB-BA3B-68EDC9D6F62A}">
  <dimension ref="A1:H257"/>
  <sheetViews>
    <sheetView zoomScale="110" zoomScaleNormal="110" workbookViewId="0"/>
  </sheetViews>
  <sheetFormatPr defaultRowHeight="14.5" x14ac:dyDescent="0.35"/>
  <cols>
    <col min="1" max="1" width="21.1796875" bestFit="1" customWidth="1"/>
    <col min="2" max="2" width="20" customWidth="1"/>
    <col min="3" max="4" width="9.36328125" customWidth="1"/>
    <col min="5" max="8" width="12.7265625" customWidth="1"/>
  </cols>
  <sheetData>
    <row r="1" spans="1:8" s="1" customFormat="1" ht="29" x14ac:dyDescent="0.35">
      <c r="A1" s="1" t="s">
        <v>0</v>
      </c>
      <c r="B1" s="1" t="s">
        <v>1</v>
      </c>
      <c r="C1" s="2" t="s">
        <v>2</v>
      </c>
      <c r="D1" s="2" t="s">
        <v>3</v>
      </c>
      <c r="E1" s="2" t="inlineStr">
        <is>
          <t>Home Result (1 = win, -1 = loss)</t>
        </is>
      </c>
      <c r="F1" s="2" t="inlineStr">
        <is>
          <t>Away Result (1 = win, -1 = loss)</t>
        </is>
      </c>
      <c r="G1" s="2" t="inlineStr">
        <is>
          <t>Home Game #</t>
        </is>
      </c>
      <c r="H1" s="2" t="inlineStr">
        <is>
          <t>Away Game #</t>
        </is>
      </c>
    </row>
    <row r="2" spans="1:8" x14ac:dyDescent="0.35">
      <c r="A2" t="s">
        <v>4</v>
      </c>
      <c r="B2" t="s">
        <v>5</v>
      </c>
      <c r="C2">
        <v>13</v>
      </c>
      <c r="D2">
        <v>10</v>
      </c>
      <c r="E2">
        <f>SIGN(C2-D2)</f>
        <v>1</v>
      </c>
      <c r="F2">
        <f>SIGN(D2-C2)</f>
        <v>-1</v>
      </c>
      <c r="G2">
        <f>COUNTIF($A$2:A2,A2)+COUNTIF($B$2:B2,A2)</f>
        <v>1</v>
      </c>
      <c r="H2">
        <f>COUNTIF($A$2:A2,B2)+COUNTIF($B$2:B2,B2)</f>
        <v>1</v>
      </c>
    </row>
    <row r="3" spans="1:8" x14ac:dyDescent="0.35">
      <c r="A3" t="s">
        <v>6</v>
      </c>
      <c r="B3" t="s">
        <v>7</v>
      </c>
      <c r="C3">
        <v>19</v>
      </c>
      <c r="D3">
        <v>7</v>
      </c>
      <c r="E3">
        <f>SIGN(C3-D3)</f>
        <v>1</v>
      </c>
      <c r="F3">
        <f>SIGN(D3-C3)</f>
        <v>-1</v>
      </c>
      <c r="G3">
        <f>COUNTIF($A$2:A3,A3)+COUNTIF($B$2:B3,A3)</f>
        <v>1</v>
      </c>
      <c r="H3">
        <f>COUNTIF($A$2:A3,B3)+COUNTIF($B$2:B3,B3)</f>
        <v>1</v>
      </c>
    </row>
    <row r="4" spans="1:8" x14ac:dyDescent="0.35">
      <c r="A4" t="s">
        <v>8</v>
      </c>
      <c r="B4" t="s">
        <v>9</v>
      </c>
      <c r="C4">
        <v>28</v>
      </c>
      <c r="D4">
        <v>0</v>
      </c>
      <c r="E4">
        <f>SIGN(C4-D4)</f>
        <v>1</v>
      </c>
      <c r="F4">
        <f>SIGN(D4-C4)</f>
        <v>-1</v>
      </c>
      <c r="G4">
        <f>COUNTIF($A$2:A4,A4)+COUNTIF($B$2:B4,A4)</f>
        <v>1</v>
      </c>
      <c r="H4">
        <f>COUNTIF($A$2:A4,B4)+COUNTIF($B$2:B4,B4)</f>
        <v>1</v>
      </c>
    </row>
    <row r="5" spans="1:8" x14ac:dyDescent="0.35">
      <c r="A5" t="s">
        <v>10</v>
      </c>
      <c r="B5" t="s">
        <v>11</v>
      </c>
      <c r="C5">
        <v>23</v>
      </c>
      <c r="D5">
        <v>17</v>
      </c>
      <c r="E5">
        <f>SIGN(C5-D5)</f>
        <v>1</v>
      </c>
      <c r="F5">
        <f>SIGN(D5-C5)</f>
        <v>-1</v>
      </c>
      <c r="G5">
        <f>COUNTIF($A$2:A5,A5)+COUNTIF($B$2:B5,A5)</f>
        <v>1</v>
      </c>
      <c r="H5">
        <f>COUNTIF($A$2:A5,B5)+COUNTIF($B$2:B5,B5)</f>
        <v>1</v>
      </c>
    </row>
    <row r="6" spans="1:8" x14ac:dyDescent="0.35">
      <c r="A6" t="s">
        <v>12</v>
      </c>
      <c r="B6" t="s">
        <v>13</v>
      </c>
      <c r="C6">
        <v>38</v>
      </c>
      <c r="D6">
        <v>24</v>
      </c>
      <c r="E6">
        <f>SIGN(C6-D6)</f>
        <v>1</v>
      </c>
      <c r="F6">
        <f>SIGN(D6-C6)</f>
        <v>-1</v>
      </c>
      <c r="G6">
        <f>COUNTIF($A$2:A6,A6)+COUNTIF($B$2:B6,A6)</f>
        <v>1</v>
      </c>
      <c r="H6">
        <f>COUNTIF($A$2:A6,B6)+COUNTIF($B$2:B6,B6)</f>
        <v>1</v>
      </c>
    </row>
    <row r="7" spans="1:8" x14ac:dyDescent="0.35">
      <c r="A7" t="s">
        <v>14</v>
      </c>
      <c r="B7" t="s">
        <v>15</v>
      </c>
      <c r="C7">
        <v>7</v>
      </c>
      <c r="D7">
        <v>24</v>
      </c>
      <c r="E7">
        <f>SIGN(C7-D7)</f>
        <v>-1</v>
      </c>
      <c r="F7">
        <f>SIGN(D7-C7)</f>
        <v>1</v>
      </c>
      <c r="G7">
        <f>COUNTIF($A$2:A7,A7)+COUNTIF($B$2:B7,A7)</f>
        <v>1</v>
      </c>
      <c r="H7">
        <f>COUNTIF($A$2:A7,B7)+COUNTIF($B$2:B7,B7)</f>
        <v>1</v>
      </c>
    </row>
    <row r="8" spans="1:8" x14ac:dyDescent="0.35">
      <c r="A8" t="s">
        <v>16</v>
      </c>
      <c r="B8" t="s">
        <v>17</v>
      </c>
      <c r="C8">
        <v>45</v>
      </c>
      <c r="D8">
        <v>27</v>
      </c>
      <c r="E8">
        <f>SIGN(C8-D8)</f>
        <v>1</v>
      </c>
      <c r="F8">
        <f>SIGN(D8-C8)</f>
        <v>-1</v>
      </c>
      <c r="G8">
        <f>COUNTIF($A$2:A8,A8)+COUNTIF($B$2:B8,A8)</f>
        <v>1</v>
      </c>
      <c r="H8">
        <f>COUNTIF($A$2:A8,B8)+COUNTIF($B$2:B8,B8)</f>
        <v>1</v>
      </c>
    </row>
    <row r="9" spans="1:8" x14ac:dyDescent="0.35">
      <c r="A9" t="s">
        <v>18</v>
      </c>
      <c r="B9" t="s">
        <v>19</v>
      </c>
      <c r="C9">
        <v>21</v>
      </c>
      <c r="D9">
        <v>34</v>
      </c>
      <c r="E9">
        <f>SIGN(C9-D9)</f>
        <v>-1</v>
      </c>
      <c r="F9">
        <f>SIGN(D9-C9)</f>
        <v>1</v>
      </c>
      <c r="G9">
        <f>COUNTIF($A$2:A9,A9)+COUNTIF($B$2:B9,A9)</f>
        <v>1</v>
      </c>
      <c r="H9">
        <f>COUNTIF($A$2:A9,B9)+COUNTIF($B$2:B9,B9)</f>
        <v>1</v>
      </c>
    </row>
    <row r="10" spans="1:8" x14ac:dyDescent="0.35">
      <c r="A10" t="s">
        <v>20</v>
      </c>
      <c r="B10" t="s">
        <v>21</v>
      </c>
      <c r="C10">
        <v>16</v>
      </c>
      <c r="D10">
        <v>20</v>
      </c>
      <c r="E10">
        <f>SIGN(C10-D10)</f>
        <v>-1</v>
      </c>
      <c r="F10">
        <f>SIGN(D10-C10)</f>
        <v>1</v>
      </c>
      <c r="G10">
        <f>COUNTIF($A$2:A10,A10)+COUNTIF($B$2:B10,A10)</f>
        <v>1</v>
      </c>
      <c r="H10">
        <f>COUNTIF($A$2:A10,B10)+COUNTIF($B$2:B10,B10)</f>
        <v>1</v>
      </c>
    </row>
    <row r="11" spans="1:8" x14ac:dyDescent="0.35">
      <c r="A11" t="s">
        <v>22</v>
      </c>
      <c r="B11" t="s">
        <v>23</v>
      </c>
      <c r="C11">
        <v>10</v>
      </c>
      <c r="D11">
        <v>38</v>
      </c>
      <c r="E11">
        <f>SIGN(C11-D11)</f>
        <v>-1</v>
      </c>
      <c r="F11">
        <f>SIGN(D11-C11)</f>
        <v>1</v>
      </c>
      <c r="G11">
        <f>COUNTIF($A$2:A11,A11)+COUNTIF($B$2:B11,A11)</f>
        <v>1</v>
      </c>
      <c r="H11">
        <f>COUNTIF($A$2:A11,B11)+COUNTIF($B$2:B11,B11)</f>
        <v>1</v>
      </c>
    </row>
    <row r="12" spans="1:8" x14ac:dyDescent="0.35">
      <c r="A12" t="s">
        <v>24</v>
      </c>
      <c r="B12" t="s">
        <v>25</v>
      </c>
      <c r="C12">
        <v>21</v>
      </c>
      <c r="D12">
        <v>15</v>
      </c>
      <c r="E12">
        <f>SIGN(C12-D12)</f>
        <v>1</v>
      </c>
      <c r="F12">
        <f>SIGN(D12-C12)</f>
        <v>-1</v>
      </c>
      <c r="G12">
        <f>COUNTIF($A$2:A12,A12)+COUNTIF($B$2:B12,A12)</f>
        <v>1</v>
      </c>
      <c r="H12">
        <f>COUNTIF($A$2:A12,B12)+COUNTIF($B$2:B12,B12)</f>
        <v>1</v>
      </c>
    </row>
    <row r="13" spans="1:8" x14ac:dyDescent="0.35">
      <c r="A13" t="s">
        <v>26</v>
      </c>
      <c r="B13" t="s">
        <v>27</v>
      </c>
      <c r="C13">
        <v>7</v>
      </c>
      <c r="D13">
        <v>12</v>
      </c>
      <c r="E13">
        <f>SIGN(C13-D13)</f>
        <v>-1</v>
      </c>
      <c r="F13">
        <f>SIGN(D13-C13)</f>
        <v>1</v>
      </c>
      <c r="G13">
        <f>COUNTIF($A$2:A13,A13)+COUNTIF($B$2:B13,A13)</f>
        <v>1</v>
      </c>
      <c r="H13">
        <f>COUNTIF($A$2:A13,B13)+COUNTIF($B$2:B13,B13)</f>
        <v>1</v>
      </c>
    </row>
    <row r="14" spans="1:8" x14ac:dyDescent="0.35">
      <c r="A14" t="s">
        <v>28</v>
      </c>
      <c r="B14" t="s">
        <v>29</v>
      </c>
      <c r="C14">
        <v>20</v>
      </c>
      <c r="D14">
        <v>34</v>
      </c>
      <c r="E14">
        <f>SIGN(C14-D14)</f>
        <v>-1</v>
      </c>
      <c r="F14">
        <f>SIGN(D14-C14)</f>
        <v>1</v>
      </c>
      <c r="G14">
        <f>COUNTIF($A$2:A14,A14)+COUNTIF($B$2:B14,A14)</f>
        <v>1</v>
      </c>
      <c r="H14">
        <f>COUNTIF($A$2:A14,B14)+COUNTIF($B$2:B14,B14)</f>
        <v>1</v>
      </c>
    </row>
    <row r="15" spans="1:8" x14ac:dyDescent="0.35">
      <c r="A15" t="s">
        <v>30</v>
      </c>
      <c r="B15" t="s">
        <v>31</v>
      </c>
      <c r="C15">
        <v>14</v>
      </c>
      <c r="D15">
        <v>12</v>
      </c>
      <c r="E15">
        <f>SIGN(C15-D15)</f>
        <v>1</v>
      </c>
      <c r="F15">
        <f>SIGN(D15-C15)</f>
        <v>-1</v>
      </c>
      <c r="G15">
        <f>COUNTIF($A$2:A15,A15)+COUNTIF($B$2:B15,A15)</f>
        <v>1</v>
      </c>
      <c r="H15">
        <f>COUNTIF($A$2:A15,B15)+COUNTIF($B$2:B15,B15)</f>
        <v>1</v>
      </c>
    </row>
    <row r="16" spans="1:8" x14ac:dyDescent="0.35">
      <c r="A16" t="s">
        <v>32</v>
      </c>
      <c r="B16" t="s">
        <v>33</v>
      </c>
      <c r="C16">
        <v>20</v>
      </c>
      <c r="D16">
        <v>24</v>
      </c>
      <c r="E16">
        <f>SIGN(C16-D16)</f>
        <v>-1</v>
      </c>
      <c r="F16">
        <f>SIGN(D16-C16)</f>
        <v>1</v>
      </c>
      <c r="G16">
        <f>COUNTIF($A$2:A16,A16)+COUNTIF($B$2:B16,A16)</f>
        <v>1</v>
      </c>
      <c r="H16">
        <f>COUNTIF($A$2:A16,B16)+COUNTIF($B$2:B16,B16)</f>
        <v>1</v>
      </c>
    </row>
    <row r="17" spans="1:8" x14ac:dyDescent="0.35">
      <c r="A17" t="s">
        <v>34</v>
      </c>
      <c r="B17" t="s">
        <v>35</v>
      </c>
      <c r="C17">
        <v>25</v>
      </c>
      <c r="D17">
        <v>24</v>
      </c>
      <c r="E17">
        <f>SIGN(C17-D17)</f>
        <v>1</v>
      </c>
      <c r="F17">
        <f>SIGN(D17-C17)</f>
        <v>-1</v>
      </c>
      <c r="G17">
        <f>COUNTIF($A$2:A17,A17)+COUNTIF($B$2:B17,A17)</f>
        <v>1</v>
      </c>
      <c r="H17">
        <f>COUNTIF($A$2:A17,B17)+COUNTIF($B$2:B17,B17)</f>
        <v>1</v>
      </c>
    </row>
    <row r="18" spans="1:8" x14ac:dyDescent="0.35">
      <c r="A18" t="s">
        <v>5</v>
      </c>
      <c r="B18" t="s">
        <v>14</v>
      </c>
      <c r="C18">
        <v>31</v>
      </c>
      <c r="D18">
        <v>34</v>
      </c>
      <c r="E18">
        <f>SIGN(C18-D18)</f>
        <v>-1</v>
      </c>
      <c r="F18">
        <f>SIGN(D18-C18)</f>
        <v>1</v>
      </c>
      <c r="G18">
        <f>COUNTIF($A$2:A18,A18)+COUNTIF($B$2:B18,A18)</f>
        <v>2</v>
      </c>
      <c r="H18">
        <f>COUNTIF($A$2:A18,B18)+COUNTIF($B$2:B18,B18)</f>
        <v>2</v>
      </c>
    </row>
    <row r="19" spans="1:8" x14ac:dyDescent="0.35">
      <c r="A19" t="s">
        <v>13</v>
      </c>
      <c r="B19" t="s">
        <v>32</v>
      </c>
      <c r="C19">
        <v>10</v>
      </c>
      <c r="D19">
        <v>13</v>
      </c>
      <c r="E19">
        <f>SIGN(C19-D19)</f>
        <v>-1</v>
      </c>
      <c r="F19">
        <f>SIGN(D19-C19)</f>
        <v>1</v>
      </c>
      <c r="G19">
        <f>COUNTIF($A$2:A19,A19)+COUNTIF($B$2:B19,A19)</f>
        <v>2</v>
      </c>
      <c r="H19">
        <f>COUNTIF($A$2:A19,B19)+COUNTIF($B$2:B19,B19)</f>
        <v>2</v>
      </c>
    </row>
    <row r="20" spans="1:8" x14ac:dyDescent="0.35">
      <c r="A20" t="s">
        <v>23</v>
      </c>
      <c r="B20" t="s">
        <v>16</v>
      </c>
      <c r="C20">
        <v>22</v>
      </c>
      <c r="D20">
        <v>48</v>
      </c>
      <c r="E20">
        <f>SIGN(C20-D20)</f>
        <v>-1</v>
      </c>
      <c r="F20">
        <f>SIGN(D20-C20)</f>
        <v>1</v>
      </c>
      <c r="G20">
        <f>COUNTIF($A$2:A20,A20)+COUNTIF($B$2:B20,A20)</f>
        <v>2</v>
      </c>
      <c r="H20">
        <f>COUNTIF($A$2:A20,B20)+COUNTIF($B$2:B20,B20)</f>
        <v>2</v>
      </c>
    </row>
    <row r="21" spans="1:8" x14ac:dyDescent="0.35">
      <c r="A21" t="s">
        <v>15</v>
      </c>
      <c r="B21" t="s">
        <v>34</v>
      </c>
      <c r="C21">
        <v>16</v>
      </c>
      <c r="D21">
        <v>9</v>
      </c>
      <c r="E21">
        <f>SIGN(C21-D21)</f>
        <v>1</v>
      </c>
      <c r="F21">
        <f>SIGN(D21-C21)</f>
        <v>-1</v>
      </c>
      <c r="G21">
        <f>COUNTIF($A$2:A21,A21)+COUNTIF($B$2:B21,A21)</f>
        <v>2</v>
      </c>
      <c r="H21">
        <f>COUNTIF($A$2:A21,B21)+COUNTIF($B$2:B21,B21)</f>
        <v>2</v>
      </c>
    </row>
    <row r="22" spans="1:8" x14ac:dyDescent="0.35">
      <c r="A22" t="s">
        <v>11</v>
      </c>
      <c r="B22" t="s">
        <v>9</v>
      </c>
      <c r="C22">
        <v>9</v>
      </c>
      <c r="D22">
        <v>7</v>
      </c>
      <c r="E22">
        <f>SIGN(C22-D22)</f>
        <v>1</v>
      </c>
      <c r="F22">
        <f>SIGN(D22-C22)</f>
        <v>-1</v>
      </c>
      <c r="G22">
        <f>COUNTIF($A$2:A22,A22)+COUNTIF($B$2:B22,A22)</f>
        <v>2</v>
      </c>
      <c r="H22">
        <f>COUNTIF($A$2:A22,B22)+COUNTIF($B$2:B22,B22)</f>
        <v>2</v>
      </c>
    </row>
    <row r="23" spans="1:8" x14ac:dyDescent="0.35">
      <c r="A23" t="s">
        <v>33</v>
      </c>
      <c r="B23" t="s">
        <v>12</v>
      </c>
      <c r="C23">
        <v>26</v>
      </c>
      <c r="D23">
        <v>31</v>
      </c>
      <c r="E23">
        <f>SIGN(C23-D23)</f>
        <v>-1</v>
      </c>
      <c r="F23">
        <f>SIGN(D23-C23)</f>
        <v>1</v>
      </c>
      <c r="G23">
        <f>COUNTIF($A$2:A23,A23)+COUNTIF($B$2:B23,A23)</f>
        <v>2</v>
      </c>
      <c r="H23">
        <f>COUNTIF($A$2:A23,B23)+COUNTIF($B$2:B23,B23)</f>
        <v>2</v>
      </c>
    </row>
    <row r="24" spans="1:8" x14ac:dyDescent="0.35">
      <c r="A24" t="s">
        <v>21</v>
      </c>
      <c r="B24" t="s">
        <v>8</v>
      </c>
      <c r="C24">
        <v>23</v>
      </c>
      <c r="D24">
        <v>10</v>
      </c>
      <c r="E24">
        <f>SIGN(C24-D24)</f>
        <v>1</v>
      </c>
      <c r="F24">
        <f>SIGN(D24-C24)</f>
        <v>-1</v>
      </c>
      <c r="G24">
        <f>COUNTIF($A$2:A24,A24)+COUNTIF($B$2:B24,A24)</f>
        <v>2</v>
      </c>
      <c r="H24">
        <f>COUNTIF($A$2:A24,B24)+COUNTIF($B$2:B24,B24)</f>
        <v>2</v>
      </c>
    </row>
    <row r="25" spans="1:8" x14ac:dyDescent="0.35">
      <c r="A25" t="s">
        <v>17</v>
      </c>
      <c r="B25" t="s">
        <v>29</v>
      </c>
      <c r="C25">
        <v>13</v>
      </c>
      <c r="D25">
        <v>27</v>
      </c>
      <c r="E25">
        <f>SIGN(C25-D25)</f>
        <v>-1</v>
      </c>
      <c r="F25">
        <f>SIGN(D25-C25)</f>
        <v>1</v>
      </c>
      <c r="G25">
        <f>COUNTIF($A$2:A25,A25)+COUNTIF($B$2:B25,A25)</f>
        <v>2</v>
      </c>
      <c r="H25">
        <f>COUNTIF($A$2:A25,B25)+COUNTIF($B$2:B25,B25)</f>
        <v>2</v>
      </c>
    </row>
    <row r="26" spans="1:8" x14ac:dyDescent="0.35">
      <c r="A26" t="s">
        <v>19</v>
      </c>
      <c r="B26" t="s">
        <v>10</v>
      </c>
      <c r="C26">
        <v>31</v>
      </c>
      <c r="D26">
        <v>33</v>
      </c>
      <c r="E26">
        <f>SIGN(C26-D26)</f>
        <v>-1</v>
      </c>
      <c r="F26">
        <f>SIGN(D26-C26)</f>
        <v>1</v>
      </c>
      <c r="G26">
        <f>COUNTIF($A$2:A26,A26)+COUNTIF($B$2:B26,A26)</f>
        <v>2</v>
      </c>
      <c r="H26">
        <f>COUNTIF($A$2:A26,B26)+COUNTIF($B$2:B26,B26)</f>
        <v>2</v>
      </c>
    </row>
    <row r="27" spans="1:8" x14ac:dyDescent="0.35">
      <c r="A27" t="s">
        <v>6</v>
      </c>
      <c r="B27" t="s">
        <v>22</v>
      </c>
      <c r="C27">
        <v>28</v>
      </c>
      <c r="D27">
        <v>20</v>
      </c>
      <c r="E27">
        <f>SIGN(C27-D27)</f>
        <v>1</v>
      </c>
      <c r="F27">
        <f>SIGN(D27-C27)</f>
        <v>-1</v>
      </c>
      <c r="G27">
        <f>COUNTIF($A$2:A27,A27)+COUNTIF($B$2:B27,A27)</f>
        <v>2</v>
      </c>
      <c r="H27">
        <f>COUNTIF($A$2:A27,B27)+COUNTIF($B$2:B27,B27)</f>
        <v>2</v>
      </c>
    </row>
    <row r="28" spans="1:8" x14ac:dyDescent="0.35">
      <c r="A28" t="s">
        <v>35</v>
      </c>
      <c r="B28" t="s">
        <v>18</v>
      </c>
      <c r="C28">
        <v>33</v>
      </c>
      <c r="D28">
        <v>20</v>
      </c>
      <c r="E28">
        <f>SIGN(C28-D28)</f>
        <v>1</v>
      </c>
      <c r="F28">
        <f>SIGN(D28-C28)</f>
        <v>-1</v>
      </c>
      <c r="G28">
        <f>COUNTIF($A$2:A28,A28)+COUNTIF($B$2:B28,A28)</f>
        <v>2</v>
      </c>
      <c r="H28">
        <f>COUNTIF($A$2:A28,B28)+COUNTIF($B$2:B28,B28)</f>
        <v>2</v>
      </c>
    </row>
    <row r="29" spans="1:8" x14ac:dyDescent="0.35">
      <c r="A29" t="s">
        <v>25</v>
      </c>
      <c r="B29" t="s">
        <v>4</v>
      </c>
      <c r="C29">
        <v>17</v>
      </c>
      <c r="D29">
        <v>14</v>
      </c>
      <c r="E29">
        <f>SIGN(C29-D29)</f>
        <v>1</v>
      </c>
      <c r="F29">
        <f>SIGN(D29-C29)</f>
        <v>-1</v>
      </c>
      <c r="G29">
        <f>COUNTIF($A$2:A29,A29)+COUNTIF($B$2:B29,A29)</f>
        <v>2</v>
      </c>
      <c r="H29">
        <f>COUNTIF($A$2:A29,B29)+COUNTIF($B$2:B29,B29)</f>
        <v>2</v>
      </c>
    </row>
    <row r="30" spans="1:8" x14ac:dyDescent="0.35">
      <c r="A30" t="s">
        <v>24</v>
      </c>
      <c r="B30" t="s">
        <v>26</v>
      </c>
      <c r="C30">
        <v>24</v>
      </c>
      <c r="D30">
        <v>31</v>
      </c>
      <c r="E30">
        <f>SIGN(C30-D30)</f>
        <v>-1</v>
      </c>
      <c r="F30">
        <f>SIGN(D30-C30)</f>
        <v>1</v>
      </c>
      <c r="G30">
        <f>COUNTIF($A$2:A30,A30)+COUNTIF($B$2:B30,A30)</f>
        <v>2</v>
      </c>
      <c r="H30">
        <f>COUNTIF($A$2:A30,B30)+COUNTIF($B$2:B30,B30)</f>
        <v>2</v>
      </c>
    </row>
    <row r="31" spans="1:8" x14ac:dyDescent="0.35">
      <c r="A31" t="s">
        <v>27</v>
      </c>
      <c r="B31" t="s">
        <v>28</v>
      </c>
      <c r="C31">
        <v>27</v>
      </c>
      <c r="D31">
        <v>6</v>
      </c>
      <c r="E31">
        <f>SIGN(C31-D31)</f>
        <v>1</v>
      </c>
      <c r="F31">
        <f>SIGN(D31-C31)</f>
        <v>-1</v>
      </c>
      <c r="G31">
        <f>COUNTIF($A$2:A31,A31)+COUNTIF($B$2:B31,A31)</f>
        <v>2</v>
      </c>
      <c r="H31">
        <f>COUNTIF($A$2:A31,B31)+COUNTIF($B$2:B31,B31)</f>
        <v>2</v>
      </c>
    </row>
    <row r="32" spans="1:8" x14ac:dyDescent="0.35">
      <c r="A32" t="s">
        <v>31</v>
      </c>
      <c r="B32" t="s">
        <v>20</v>
      </c>
      <c r="C32">
        <v>17</v>
      </c>
      <c r="D32">
        <v>31</v>
      </c>
      <c r="E32">
        <f>SIGN(C32-D32)</f>
        <v>-1</v>
      </c>
      <c r="F32">
        <f>SIGN(D32-C32)</f>
        <v>1</v>
      </c>
      <c r="G32">
        <f>COUNTIF($A$2:A32,A32)+COUNTIF($B$2:B32,A32)</f>
        <v>2</v>
      </c>
      <c r="H32">
        <f>COUNTIF($A$2:A32,B32)+COUNTIF($B$2:B32,B32)</f>
        <v>2</v>
      </c>
    </row>
    <row r="33" spans="1:8" x14ac:dyDescent="0.35">
      <c r="A33" t="s">
        <v>7</v>
      </c>
      <c r="B33" t="s">
        <v>30</v>
      </c>
      <c r="C33">
        <v>23</v>
      </c>
      <c r="D33">
        <v>27</v>
      </c>
      <c r="E33">
        <f>SIGN(C33-D33)</f>
        <v>-1</v>
      </c>
      <c r="F33">
        <f>SIGN(D33-C33)</f>
        <v>1</v>
      </c>
      <c r="G33">
        <f>COUNTIF($A$2:A33,A33)+COUNTIF($B$2:B33,A33)</f>
        <v>2</v>
      </c>
      <c r="H33">
        <f>COUNTIF($A$2:A33,B33)+COUNTIF($B$2:B33,B33)</f>
        <v>2</v>
      </c>
    </row>
    <row r="34" spans="1:8" x14ac:dyDescent="0.35">
      <c r="A34" t="s">
        <v>9</v>
      </c>
      <c r="B34" t="s">
        <v>24</v>
      </c>
      <c r="C34">
        <v>17</v>
      </c>
      <c r="D34">
        <v>36</v>
      </c>
      <c r="E34">
        <f>SIGN(C34-D34)</f>
        <v>-1</v>
      </c>
      <c r="F34">
        <f>SIGN(D34-C34)</f>
        <v>1</v>
      </c>
      <c r="G34">
        <f>COUNTIF($A$2:A34,A34)+COUNTIF($B$2:B34,A34)</f>
        <v>3</v>
      </c>
      <c r="H34">
        <f>COUNTIF($A$2:A34,B34)+COUNTIF($B$2:B34,B34)</f>
        <v>3</v>
      </c>
    </row>
    <row r="35" spans="1:8" x14ac:dyDescent="0.35">
      <c r="A35" t="s">
        <v>14</v>
      </c>
      <c r="B35" t="s">
        <v>31</v>
      </c>
      <c r="C35">
        <v>24</v>
      </c>
      <c r="D35">
        <v>31</v>
      </c>
      <c r="E35">
        <f>SIGN(C35-D35)</f>
        <v>-1</v>
      </c>
      <c r="F35">
        <f>SIGN(D35-C35)</f>
        <v>1</v>
      </c>
      <c r="G35">
        <f>COUNTIF($A$2:A35,A35)+COUNTIF($B$2:B35,A35)</f>
        <v>3</v>
      </c>
      <c r="H35">
        <f>COUNTIF($A$2:A35,B35)+COUNTIF($B$2:B35,B35)</f>
        <v>3</v>
      </c>
    </row>
    <row r="36" spans="1:8" x14ac:dyDescent="0.35">
      <c r="A36" t="s">
        <v>23</v>
      </c>
      <c r="B36" t="s">
        <v>13</v>
      </c>
      <c r="C36">
        <v>34</v>
      </c>
      <c r="D36">
        <v>14</v>
      </c>
      <c r="E36">
        <f>SIGN(C36-D36)</f>
        <v>1</v>
      </c>
      <c r="F36">
        <f>SIGN(D36-C36)</f>
        <v>-1</v>
      </c>
      <c r="G36">
        <f>COUNTIF($A$2:A36,A36)+COUNTIF($B$2:B36,A36)</f>
        <v>3</v>
      </c>
      <c r="H36">
        <f>COUNTIF($A$2:A36,B36)+COUNTIF($B$2:B36,B36)</f>
        <v>3</v>
      </c>
    </row>
    <row r="37" spans="1:8" x14ac:dyDescent="0.35">
      <c r="A37" t="s">
        <v>33</v>
      </c>
      <c r="B37" t="s">
        <v>7</v>
      </c>
      <c r="C37">
        <v>23</v>
      </c>
      <c r="D37">
        <v>13</v>
      </c>
      <c r="E37">
        <f>SIGN(C37-D37)</f>
        <v>1</v>
      </c>
      <c r="F37">
        <f>SIGN(D37-C37)</f>
        <v>-1</v>
      </c>
      <c r="G37">
        <f>COUNTIF($A$2:A37,A37)+COUNTIF($B$2:B37,A37)</f>
        <v>3</v>
      </c>
      <c r="H37">
        <f>COUNTIF($A$2:A37,B37)+COUNTIF($B$2:B37,B37)</f>
        <v>3</v>
      </c>
    </row>
    <row r="38" spans="1:8" x14ac:dyDescent="0.35">
      <c r="A38" t="s">
        <v>29</v>
      </c>
      <c r="B38" t="s">
        <v>21</v>
      </c>
      <c r="C38">
        <v>27</v>
      </c>
      <c r="D38">
        <v>24</v>
      </c>
      <c r="E38">
        <f>SIGN(C38-D38)</f>
        <v>1</v>
      </c>
      <c r="F38">
        <f>SIGN(D38-C38)</f>
        <v>-1</v>
      </c>
      <c r="G38">
        <f>COUNTIF($A$2:A38,A38)+COUNTIF($B$2:B38,A38)</f>
        <v>3</v>
      </c>
      <c r="H38">
        <f>COUNTIF($A$2:A38,B38)+COUNTIF($B$2:B38,B38)</f>
        <v>3</v>
      </c>
    </row>
    <row r="39" spans="1:8" x14ac:dyDescent="0.35">
      <c r="A39" t="s">
        <v>18</v>
      </c>
      <c r="B39" t="s">
        <v>10</v>
      </c>
      <c r="C39">
        <v>0</v>
      </c>
      <c r="D39">
        <v>24</v>
      </c>
      <c r="E39">
        <f>SIGN(C39-D39)</f>
        <v>-1</v>
      </c>
      <c r="F39">
        <f>SIGN(D39-C39)</f>
        <v>1</v>
      </c>
      <c r="G39">
        <f>COUNTIF($A$2:A39,A39)+COUNTIF($B$2:B39,A39)</f>
        <v>3</v>
      </c>
      <c r="H39">
        <f>COUNTIF($A$2:A39,B39)+COUNTIF($B$2:B39,B39)</f>
        <v>3</v>
      </c>
    </row>
    <row r="40" spans="1:8" x14ac:dyDescent="0.35">
      <c r="A40" t="s">
        <v>15</v>
      </c>
      <c r="B40" t="s">
        <v>5</v>
      </c>
      <c r="C40">
        <v>24</v>
      </c>
      <c r="D40">
        <v>17</v>
      </c>
      <c r="E40">
        <f>SIGN(C40-D40)</f>
        <v>1</v>
      </c>
      <c r="F40">
        <f>SIGN(D40-C40)</f>
        <v>-1</v>
      </c>
      <c r="G40">
        <f>COUNTIF($A$2:A40,A40)+COUNTIF($B$2:B40,A40)</f>
        <v>3</v>
      </c>
      <c r="H40">
        <f>COUNTIF($A$2:A40,B40)+COUNTIF($B$2:B40,B40)</f>
        <v>3</v>
      </c>
    </row>
    <row r="41" spans="1:8" x14ac:dyDescent="0.35">
      <c r="A41" t="s">
        <v>17</v>
      </c>
      <c r="B41" t="s">
        <v>11</v>
      </c>
      <c r="C41">
        <v>19</v>
      </c>
      <c r="D41">
        <v>14</v>
      </c>
      <c r="E41">
        <f>SIGN(C41-D41)</f>
        <v>1</v>
      </c>
      <c r="F41">
        <f>SIGN(D41-C41)</f>
        <v>-1</v>
      </c>
      <c r="G41">
        <f>COUNTIF($A$2:A41,A41)+COUNTIF($B$2:B41,A41)</f>
        <v>3</v>
      </c>
      <c r="H41">
        <f>COUNTIF($A$2:A41,B41)+COUNTIF($B$2:B41,B41)</f>
        <v>3</v>
      </c>
    </row>
    <row r="42" spans="1:8" x14ac:dyDescent="0.35">
      <c r="A42" t="s">
        <v>32</v>
      </c>
      <c r="B42" t="s">
        <v>27</v>
      </c>
      <c r="C42">
        <v>3</v>
      </c>
      <c r="D42">
        <v>23</v>
      </c>
      <c r="E42">
        <f>SIGN(C42-D42)</f>
        <v>-1</v>
      </c>
      <c r="F42">
        <f>SIGN(D42-C42)</f>
        <v>1</v>
      </c>
      <c r="G42">
        <f>COUNTIF($A$2:A42,A42)+COUNTIF($B$2:B42,A42)</f>
        <v>3</v>
      </c>
      <c r="H42">
        <f>COUNTIF($A$2:A42,B42)+COUNTIF($B$2:B42,B42)</f>
        <v>3</v>
      </c>
    </row>
    <row r="43" spans="1:8" x14ac:dyDescent="0.35">
      <c r="A43" t="s">
        <v>20</v>
      </c>
      <c r="B43" t="s">
        <v>30</v>
      </c>
      <c r="C43">
        <v>10</v>
      </c>
      <c r="D43">
        <v>31</v>
      </c>
      <c r="E43">
        <f>SIGN(C43-D43)</f>
        <v>-1</v>
      </c>
      <c r="F43">
        <f>SIGN(D43-C43)</f>
        <v>1</v>
      </c>
      <c r="G43">
        <f>COUNTIF($A$2:A43,A43)+COUNTIF($B$2:B43,A43)</f>
        <v>3</v>
      </c>
      <c r="H43">
        <f>COUNTIF($A$2:A43,B43)+COUNTIF($B$2:B43,B43)</f>
        <v>3</v>
      </c>
    </row>
    <row r="44" spans="1:8" x14ac:dyDescent="0.35">
      <c r="A44" t="s">
        <v>12</v>
      </c>
      <c r="B44" t="s">
        <v>28</v>
      </c>
      <c r="C44">
        <v>34</v>
      </c>
      <c r="D44">
        <v>3</v>
      </c>
      <c r="E44">
        <f>SIGN(C44-D44)</f>
        <v>1</v>
      </c>
      <c r="F44">
        <f>SIGN(D44-C44)</f>
        <v>-1</v>
      </c>
      <c r="G44">
        <f>COUNTIF($A$2:A44,A44)+COUNTIF($B$2:B44,A44)</f>
        <v>3</v>
      </c>
      <c r="H44">
        <f>COUNTIF($A$2:A44,B44)+COUNTIF($B$2:B44,B44)</f>
        <v>3</v>
      </c>
    </row>
    <row r="45" spans="1:8" x14ac:dyDescent="0.35">
      <c r="A45" t="s">
        <v>26</v>
      </c>
      <c r="B45" t="s">
        <v>4</v>
      </c>
      <c r="C45">
        <v>23</v>
      </c>
      <c r="D45">
        <v>20</v>
      </c>
      <c r="E45">
        <f>SIGN(C45-D45)</f>
        <v>1</v>
      </c>
      <c r="F45">
        <f>SIGN(D45-C45)</f>
        <v>-1</v>
      </c>
      <c r="G45">
        <f>COUNTIF($A$2:A45,A45)+COUNTIF($B$2:B45,A45)</f>
        <v>3</v>
      </c>
      <c r="H45">
        <f>COUNTIF($A$2:A45,B45)+COUNTIF($B$2:B45,B45)</f>
        <v>3</v>
      </c>
    </row>
    <row r="46" spans="1:8" x14ac:dyDescent="0.35">
      <c r="A46" t="s">
        <v>8</v>
      </c>
      <c r="B46" t="s">
        <v>25</v>
      </c>
      <c r="C46">
        <v>19</v>
      </c>
      <c r="D46">
        <v>25</v>
      </c>
      <c r="E46">
        <f>SIGN(C46-D46)</f>
        <v>-1</v>
      </c>
      <c r="F46">
        <f>SIGN(D46-C46)</f>
        <v>1</v>
      </c>
      <c r="G46">
        <f>COUNTIF($A$2:A46,A46)+COUNTIF($B$2:B46,A46)</f>
        <v>3</v>
      </c>
      <c r="H46">
        <f>COUNTIF($A$2:A46,B46)+COUNTIF($B$2:B46,B46)</f>
        <v>3</v>
      </c>
    </row>
    <row r="47" spans="1:8" x14ac:dyDescent="0.35">
      <c r="A47" t="s">
        <v>34</v>
      </c>
      <c r="B47" t="s">
        <v>6</v>
      </c>
      <c r="C47">
        <v>26</v>
      </c>
      <c r="D47">
        <v>10</v>
      </c>
      <c r="E47">
        <f>SIGN(C47-D47)</f>
        <v>1</v>
      </c>
      <c r="F47">
        <f>SIGN(D47-C47)</f>
        <v>-1</v>
      </c>
      <c r="G47">
        <f>COUNTIF($A$2:A47,A47)+COUNTIF($B$2:B47,A47)</f>
        <v>3</v>
      </c>
      <c r="H47">
        <f>COUNTIF($A$2:A47,B47)+COUNTIF($B$2:B47,B47)</f>
        <v>3</v>
      </c>
    </row>
    <row r="48" spans="1:8" x14ac:dyDescent="0.35">
      <c r="A48" t="s">
        <v>35</v>
      </c>
      <c r="B48" t="s">
        <v>16</v>
      </c>
      <c r="C48">
        <v>7</v>
      </c>
      <c r="D48">
        <v>27</v>
      </c>
      <c r="E48">
        <f>SIGN(C48-D48)</f>
        <v>-1</v>
      </c>
      <c r="F48">
        <f>SIGN(D48-C48)</f>
        <v>1</v>
      </c>
      <c r="G48">
        <f>COUNTIF($A$2:A48,A48)+COUNTIF($B$2:B48,A48)</f>
        <v>3</v>
      </c>
      <c r="H48">
        <f>COUNTIF($A$2:A48,B48)+COUNTIF($B$2:B48,B48)</f>
        <v>3</v>
      </c>
    </row>
    <row r="49" spans="1:8" x14ac:dyDescent="0.35">
      <c r="A49" t="s">
        <v>19</v>
      </c>
      <c r="B49" t="s">
        <v>22</v>
      </c>
      <c r="C49">
        <v>21</v>
      </c>
      <c r="D49">
        <v>7</v>
      </c>
      <c r="E49">
        <f>SIGN(C49-D49)</f>
        <v>1</v>
      </c>
      <c r="F49">
        <f>SIGN(D49-C49)</f>
        <v>-1</v>
      </c>
      <c r="G49">
        <f>COUNTIF($A$2:A49,A49)+COUNTIF($B$2:B49,A49)</f>
        <v>3</v>
      </c>
      <c r="H49">
        <f>COUNTIF($A$2:A49,B49)+COUNTIF($B$2:B49,B49)</f>
        <v>3</v>
      </c>
    </row>
    <row r="50" spans="1:8" x14ac:dyDescent="0.35">
      <c r="A50" t="s">
        <v>31</v>
      </c>
      <c r="B50" t="s">
        <v>5</v>
      </c>
      <c r="C50">
        <v>37</v>
      </c>
      <c r="D50">
        <v>17</v>
      </c>
      <c r="E50">
        <f>SIGN(C50-D50)</f>
        <v>1</v>
      </c>
      <c r="F50">
        <f>SIGN(D50-C50)</f>
        <v>-1</v>
      </c>
      <c r="G50">
        <f>COUNTIF($A$2:A50,A50)+COUNTIF($B$2:B50,A50)</f>
        <v>4</v>
      </c>
      <c r="H50">
        <f>COUNTIF($A$2:A50,B50)+COUNTIF($B$2:B50,B50)</f>
        <v>4</v>
      </c>
    </row>
    <row r="51" spans="1:8" x14ac:dyDescent="0.35">
      <c r="A51" t="s">
        <v>13</v>
      </c>
      <c r="B51" t="s">
        <v>10</v>
      </c>
      <c r="C51">
        <v>16</v>
      </c>
      <c r="D51">
        <v>27</v>
      </c>
      <c r="E51">
        <f>SIGN(C51-D51)</f>
        <v>-1</v>
      </c>
      <c r="F51">
        <f>SIGN(D51-C51)</f>
        <v>1</v>
      </c>
      <c r="G51">
        <f>COUNTIF($A$2:A51,A51)+COUNTIF($B$2:B51,A51)</f>
        <v>4</v>
      </c>
      <c r="H51">
        <f>COUNTIF($A$2:A51,B51)+COUNTIF($B$2:B51,B51)</f>
        <v>4</v>
      </c>
    </row>
    <row r="52" spans="1:8" x14ac:dyDescent="0.35">
      <c r="A52" t="s">
        <v>16</v>
      </c>
      <c r="B52" t="s">
        <v>15</v>
      </c>
      <c r="C52">
        <v>24</v>
      </c>
      <c r="D52">
        <v>10</v>
      </c>
      <c r="E52">
        <f>SIGN(C52-D52)</f>
        <v>1</v>
      </c>
      <c r="F52">
        <f>SIGN(D52-C52)</f>
        <v>-1</v>
      </c>
      <c r="G52">
        <f>COUNTIF($A$2:A52,A52)+COUNTIF($B$2:B52,A52)</f>
        <v>4</v>
      </c>
      <c r="H52">
        <f>COUNTIF($A$2:A52,B52)+COUNTIF($B$2:B52,B52)</f>
        <v>4</v>
      </c>
    </row>
    <row r="53" spans="1:8" x14ac:dyDescent="0.35">
      <c r="A53" t="s">
        <v>34</v>
      </c>
      <c r="B53" t="s">
        <v>12</v>
      </c>
      <c r="C53">
        <v>27</v>
      </c>
      <c r="D53">
        <v>21</v>
      </c>
      <c r="E53">
        <f>SIGN(C53-D53)</f>
        <v>1</v>
      </c>
      <c r="F53">
        <f>SIGN(D53-C53)</f>
        <v>-1</v>
      </c>
      <c r="G53">
        <f>COUNTIF($A$2:A53,A53)+COUNTIF($B$2:B53,A53)</f>
        <v>4</v>
      </c>
      <c r="H53">
        <f>COUNTIF($A$2:A53,B53)+COUNTIF($B$2:B53,B53)</f>
        <v>4</v>
      </c>
    </row>
    <row r="54" spans="1:8" x14ac:dyDescent="0.35">
      <c r="A54" t="s">
        <v>4</v>
      </c>
      <c r="B54" t="s">
        <v>33</v>
      </c>
      <c r="C54">
        <v>38</v>
      </c>
      <c r="D54">
        <v>28</v>
      </c>
      <c r="E54">
        <f>SIGN(C54-D54)</f>
        <v>1</v>
      </c>
      <c r="F54">
        <f>SIGN(D54-C54)</f>
        <v>-1</v>
      </c>
      <c r="G54">
        <f>COUNTIF($A$2:A54,A54)+COUNTIF($B$2:B54,A54)</f>
        <v>4</v>
      </c>
      <c r="H54">
        <f>COUNTIF($A$2:A54,B54)+COUNTIF($B$2:B54,B54)</f>
        <v>4</v>
      </c>
    </row>
    <row r="55" spans="1:8" x14ac:dyDescent="0.35">
      <c r="A55" t="s">
        <v>21</v>
      </c>
      <c r="B55" t="s">
        <v>9</v>
      </c>
      <c r="C55">
        <v>35</v>
      </c>
      <c r="D55">
        <v>0</v>
      </c>
      <c r="E55">
        <f>SIGN(C55-D55)</f>
        <v>1</v>
      </c>
      <c r="F55">
        <f>SIGN(D55-C55)</f>
        <v>-1</v>
      </c>
      <c r="G55">
        <f>COUNTIF($A$2:A55,A55)+COUNTIF($B$2:B55,A55)</f>
        <v>4</v>
      </c>
      <c r="H55">
        <f>COUNTIF($A$2:A55,B55)+COUNTIF($B$2:B55,B55)</f>
        <v>4</v>
      </c>
    </row>
    <row r="56" spans="1:8" x14ac:dyDescent="0.35">
      <c r="A56" t="s">
        <v>11</v>
      </c>
      <c r="B56" t="s">
        <v>18</v>
      </c>
      <c r="C56">
        <v>16</v>
      </c>
      <c r="D56">
        <v>13</v>
      </c>
      <c r="E56">
        <f>SIGN(C56-D56)</f>
        <v>1</v>
      </c>
      <c r="F56">
        <f>SIGN(D56-C56)</f>
        <v>-1</v>
      </c>
      <c r="G56">
        <f>COUNTIF($A$2:A56,A56)+COUNTIF($B$2:B56,A56)</f>
        <v>4</v>
      </c>
      <c r="H56">
        <f>COUNTIF($A$2:A56,B56)+COUNTIF($B$2:B56,B56)</f>
        <v>4</v>
      </c>
    </row>
    <row r="57" spans="1:8" x14ac:dyDescent="0.35">
      <c r="A57" t="s">
        <v>14</v>
      </c>
      <c r="B57" t="s">
        <v>32</v>
      </c>
      <c r="C57">
        <v>29</v>
      </c>
      <c r="D57">
        <v>6</v>
      </c>
      <c r="E57">
        <f>SIGN(C57-D57)</f>
        <v>1</v>
      </c>
      <c r="F57">
        <f>SIGN(D57-C57)</f>
        <v>-1</v>
      </c>
      <c r="G57">
        <f>COUNTIF($A$2:A57,A57)+COUNTIF($B$2:B57,A57)</f>
        <v>4</v>
      </c>
      <c r="H57">
        <f>COUNTIF($A$2:A57,B57)+COUNTIF($B$2:B57,B57)</f>
        <v>4</v>
      </c>
    </row>
    <row r="58" spans="1:8" x14ac:dyDescent="0.35">
      <c r="A58" t="s">
        <v>27</v>
      </c>
      <c r="B58" t="s">
        <v>19</v>
      </c>
      <c r="C58">
        <v>17</v>
      </c>
      <c r="D58">
        <v>10</v>
      </c>
      <c r="E58">
        <f>SIGN(C58-D58)</f>
        <v>1</v>
      </c>
      <c r="F58">
        <f>SIGN(D58-C58)</f>
        <v>-1</v>
      </c>
      <c r="G58">
        <f>COUNTIF($A$2:A58,A58)+COUNTIF($B$2:B58,A58)</f>
        <v>4</v>
      </c>
      <c r="H58">
        <f>COUNTIF($A$2:A58,B58)+COUNTIF($B$2:B58,B58)</f>
        <v>4</v>
      </c>
    </row>
    <row r="59" spans="1:8" x14ac:dyDescent="0.35">
      <c r="A59" t="s">
        <v>30</v>
      </c>
      <c r="B59" t="s">
        <v>8</v>
      </c>
      <c r="C59">
        <v>34</v>
      </c>
      <c r="D59">
        <v>17</v>
      </c>
      <c r="E59">
        <f>SIGN(C59-D59)</f>
        <v>1</v>
      </c>
      <c r="F59">
        <f>SIGN(D59-C59)</f>
        <v>-1</v>
      </c>
      <c r="G59">
        <f>COUNTIF($A$2:A59,A59)+COUNTIF($B$2:B59,A59)</f>
        <v>4</v>
      </c>
      <c r="H59">
        <f>COUNTIF($A$2:A59,B59)+COUNTIF($B$2:B59,B59)</f>
        <v>4</v>
      </c>
    </row>
    <row r="60" spans="1:8" x14ac:dyDescent="0.35">
      <c r="A60" t="s">
        <v>28</v>
      </c>
      <c r="B60" t="s">
        <v>26</v>
      </c>
      <c r="C60">
        <v>20</v>
      </c>
      <c r="D60">
        <v>23</v>
      </c>
      <c r="E60">
        <f>SIGN(C60-D60)</f>
        <v>-1</v>
      </c>
      <c r="F60">
        <f>SIGN(D60-C60)</f>
        <v>1</v>
      </c>
      <c r="G60">
        <f>COUNTIF($A$2:A60,A60)+COUNTIF($B$2:B60,A60)</f>
        <v>4</v>
      </c>
      <c r="H60">
        <f>COUNTIF($A$2:A60,B60)+COUNTIF($B$2:B60,B60)</f>
        <v>4</v>
      </c>
    </row>
    <row r="61" spans="1:8" x14ac:dyDescent="0.35">
      <c r="A61" t="s">
        <v>25</v>
      </c>
      <c r="B61" t="s">
        <v>17</v>
      </c>
      <c r="C61">
        <v>48</v>
      </c>
      <c r="D61">
        <v>24</v>
      </c>
      <c r="E61">
        <f>SIGN(C61-D61)</f>
        <v>1</v>
      </c>
      <c r="F61">
        <f>SIGN(D61-C61)</f>
        <v>-1</v>
      </c>
      <c r="G61">
        <f>COUNTIF($A$2:A61,A61)+COUNTIF($B$2:B61,A61)</f>
        <v>4</v>
      </c>
      <c r="H61">
        <f>COUNTIF($A$2:A61,B61)+COUNTIF($B$2:B61,B61)</f>
        <v>4</v>
      </c>
    </row>
    <row r="62" spans="1:8" x14ac:dyDescent="0.35">
      <c r="A62" t="s">
        <v>7</v>
      </c>
      <c r="B62" t="s">
        <v>35</v>
      </c>
      <c r="C62">
        <v>38</v>
      </c>
      <c r="D62">
        <v>10</v>
      </c>
      <c r="E62">
        <f>SIGN(C62-D62)</f>
        <v>1</v>
      </c>
      <c r="F62">
        <f>SIGN(D62-C62)</f>
        <v>-1</v>
      </c>
      <c r="G62">
        <f>COUNTIF($A$2:A62,A62)+COUNTIF($B$2:B62,A62)</f>
        <v>4</v>
      </c>
      <c r="H62">
        <f>COUNTIF($A$2:A62,B62)+COUNTIF($B$2:B62,B62)</f>
        <v>4</v>
      </c>
    </row>
    <row r="63" spans="1:8" x14ac:dyDescent="0.35">
      <c r="A63" t="s">
        <v>29</v>
      </c>
      <c r="B63" t="s">
        <v>24</v>
      </c>
      <c r="C63">
        <v>30</v>
      </c>
      <c r="D63">
        <v>23</v>
      </c>
      <c r="E63">
        <f>SIGN(C63-D63)</f>
        <v>1</v>
      </c>
      <c r="F63">
        <f>SIGN(D63-C63)</f>
        <v>-1</v>
      </c>
      <c r="G63">
        <f>COUNTIF($A$2:A63,A63)+COUNTIF($B$2:B63,A63)</f>
        <v>4</v>
      </c>
      <c r="H63">
        <f>COUNTIF($A$2:A63,B63)+COUNTIF($B$2:B63,B63)</f>
        <v>4</v>
      </c>
    </row>
    <row r="64" spans="1:8" x14ac:dyDescent="0.35">
      <c r="A64" t="s">
        <v>21</v>
      </c>
      <c r="B64" t="s">
        <v>6</v>
      </c>
      <c r="C64">
        <v>10</v>
      </c>
      <c r="D64">
        <v>45</v>
      </c>
      <c r="E64">
        <f>SIGN(C64-D64)</f>
        <v>-1</v>
      </c>
      <c r="F64">
        <f>SIGN(D64-C64)</f>
        <v>1</v>
      </c>
      <c r="G64">
        <f>COUNTIF($A$2:A64,A64)+COUNTIF($B$2:B64,A64)</f>
        <v>5</v>
      </c>
      <c r="H64">
        <f>COUNTIF($A$2:A64,B64)+COUNTIF($B$2:B64,B64)</f>
        <v>4</v>
      </c>
    </row>
    <row r="65" spans="1:8" x14ac:dyDescent="0.35">
      <c r="A65" t="s">
        <v>22</v>
      </c>
      <c r="B65" t="s">
        <v>11</v>
      </c>
      <c r="C65">
        <v>20</v>
      </c>
      <c r="D65">
        <v>17</v>
      </c>
      <c r="E65">
        <f>SIGN(C65-D65)</f>
        <v>1</v>
      </c>
      <c r="F65">
        <f>SIGN(D65-C65)</f>
        <v>-1</v>
      </c>
      <c r="G65">
        <f>COUNTIF($A$2:A65,A65)+COUNTIF($B$2:B65,A65)</f>
        <v>4</v>
      </c>
      <c r="H65">
        <f>COUNTIF($A$2:A65,B65)+COUNTIF($B$2:B65,B65)</f>
        <v>5</v>
      </c>
    </row>
    <row r="66" spans="1:8" x14ac:dyDescent="0.35">
      <c r="A66" t="s">
        <v>23</v>
      </c>
      <c r="B66" t="s">
        <v>18</v>
      </c>
      <c r="C66">
        <v>33</v>
      </c>
      <c r="D66">
        <v>14</v>
      </c>
      <c r="E66">
        <f>SIGN(C66-D66)</f>
        <v>1</v>
      </c>
      <c r="F66">
        <f>SIGN(D66-C66)</f>
        <v>-1</v>
      </c>
      <c r="G66">
        <f>COUNTIF($A$2:A66,A66)+COUNTIF($B$2:B66,A66)</f>
        <v>4</v>
      </c>
      <c r="H66">
        <f>COUNTIF($A$2:A66,B66)+COUNTIF($B$2:B66,B66)</f>
        <v>5</v>
      </c>
    </row>
    <row r="67" spans="1:8" x14ac:dyDescent="0.35">
      <c r="A67" t="s">
        <v>20</v>
      </c>
      <c r="B67" t="s">
        <v>14</v>
      </c>
      <c r="C67">
        <v>28</v>
      </c>
      <c r="D67">
        <v>21</v>
      </c>
      <c r="E67">
        <f>SIGN(C67-D67)</f>
        <v>1</v>
      </c>
      <c r="F67">
        <f>SIGN(D67-C67)</f>
        <v>-1</v>
      </c>
      <c r="G67">
        <f>COUNTIF($A$2:A67,A67)+COUNTIF($B$2:B67,A67)</f>
        <v>4</v>
      </c>
      <c r="H67">
        <f>COUNTIF($A$2:A67,B67)+COUNTIF($B$2:B67,B67)</f>
        <v>5</v>
      </c>
    </row>
    <row r="68" spans="1:8" x14ac:dyDescent="0.35">
      <c r="A68" t="s">
        <v>8</v>
      </c>
      <c r="B68" t="s">
        <v>31</v>
      </c>
      <c r="C68">
        <v>41</v>
      </c>
      <c r="D68">
        <v>0</v>
      </c>
      <c r="E68">
        <f>SIGN(C68-D68)</f>
        <v>1</v>
      </c>
      <c r="F68">
        <f>SIGN(D68-C68)</f>
        <v>-1</v>
      </c>
      <c r="G68">
        <f>COUNTIF($A$2:A68,A68)+COUNTIF($B$2:B68,A68)</f>
        <v>5</v>
      </c>
      <c r="H68">
        <f>COUNTIF($A$2:A68,B68)+COUNTIF($B$2:B68,B68)</f>
        <v>5</v>
      </c>
    </row>
    <row r="69" spans="1:8" x14ac:dyDescent="0.35">
      <c r="A69" t="s">
        <v>17</v>
      </c>
      <c r="B69" t="s">
        <v>4</v>
      </c>
      <c r="C69">
        <v>20</v>
      </c>
      <c r="D69">
        <v>28</v>
      </c>
      <c r="E69">
        <f>SIGN(C69-D69)</f>
        <v>-1</v>
      </c>
      <c r="F69">
        <f>SIGN(D69-C69)</f>
        <v>1</v>
      </c>
      <c r="G69">
        <f>COUNTIF($A$2:A69,A69)+COUNTIF($B$2:B69,A69)</f>
        <v>5</v>
      </c>
      <c r="H69">
        <f>COUNTIF($A$2:A69,B69)+COUNTIF($B$2:B69,B69)</f>
        <v>5</v>
      </c>
    </row>
    <row r="70" spans="1:8" x14ac:dyDescent="0.35">
      <c r="A70" t="s">
        <v>27</v>
      </c>
      <c r="B70" t="s">
        <v>34</v>
      </c>
      <c r="C70">
        <v>20</v>
      </c>
      <c r="D70">
        <v>17</v>
      </c>
      <c r="E70">
        <f>SIGN(C70-D70)</f>
        <v>1</v>
      </c>
      <c r="F70">
        <f>SIGN(D70-C70)</f>
        <v>-1</v>
      </c>
      <c r="G70">
        <f>COUNTIF($A$2:A70,A70)+COUNTIF($B$2:B70,A70)</f>
        <v>5</v>
      </c>
      <c r="H70">
        <f>COUNTIF($A$2:A70,B70)+COUNTIF($B$2:B70,B70)</f>
        <v>5</v>
      </c>
    </row>
    <row r="71" spans="1:8" x14ac:dyDescent="0.35">
      <c r="A71" t="s">
        <v>13</v>
      </c>
      <c r="B71" t="s">
        <v>19</v>
      </c>
      <c r="C71">
        <v>20</v>
      </c>
      <c r="D71">
        <v>26</v>
      </c>
      <c r="E71">
        <f>SIGN(C71-D71)</f>
        <v>-1</v>
      </c>
      <c r="F71">
        <f>SIGN(D71-C71)</f>
        <v>1</v>
      </c>
      <c r="G71">
        <f>COUNTIF($A$2:A71,A71)+COUNTIF($B$2:B71,A71)</f>
        <v>5</v>
      </c>
      <c r="H71">
        <f>COUNTIF($A$2:A71,B71)+COUNTIF($B$2:B71,B71)</f>
        <v>5</v>
      </c>
    </row>
    <row r="72" spans="1:8" x14ac:dyDescent="0.35">
      <c r="A72" t="s">
        <v>5</v>
      </c>
      <c r="B72" t="s">
        <v>30</v>
      </c>
      <c r="C72">
        <v>9</v>
      </c>
      <c r="D72">
        <v>31</v>
      </c>
      <c r="E72">
        <f>SIGN(C72-D72)</f>
        <v>-1</v>
      </c>
      <c r="F72">
        <f>SIGN(D72-C72)</f>
        <v>1</v>
      </c>
      <c r="G72">
        <f>COUNTIF($A$2:A72,A72)+COUNTIF($B$2:B72,A72)</f>
        <v>5</v>
      </c>
      <c r="H72">
        <f>COUNTIF($A$2:A72,B72)+COUNTIF($B$2:B72,B72)</f>
        <v>5</v>
      </c>
    </row>
    <row r="73" spans="1:8" x14ac:dyDescent="0.35">
      <c r="A73" t="s">
        <v>12</v>
      </c>
      <c r="B73" t="s">
        <v>26</v>
      </c>
      <c r="C73">
        <v>14</v>
      </c>
      <c r="D73">
        <v>17</v>
      </c>
      <c r="E73">
        <f>SIGN(C73-D73)</f>
        <v>-1</v>
      </c>
      <c r="F73">
        <f>SIGN(D73-C73)</f>
        <v>1</v>
      </c>
      <c r="G73">
        <f>COUNTIF($A$2:A73,A73)+COUNTIF($B$2:B73,A73)</f>
        <v>5</v>
      </c>
      <c r="H73">
        <f>COUNTIF($A$2:A73,B73)+COUNTIF($B$2:B73,B73)</f>
        <v>5</v>
      </c>
    </row>
    <row r="74" spans="1:8" x14ac:dyDescent="0.35">
      <c r="A74" t="s">
        <v>10</v>
      </c>
      <c r="B74" t="s">
        <v>32</v>
      </c>
      <c r="C74">
        <v>44</v>
      </c>
      <c r="D74">
        <v>7</v>
      </c>
      <c r="E74">
        <f>SIGN(C74-D74)</f>
        <v>1</v>
      </c>
      <c r="F74">
        <f>SIGN(D74-C74)</f>
        <v>-1</v>
      </c>
      <c r="G74">
        <f>COUNTIF($A$2:A74,A74)+COUNTIF($B$2:B74,A74)</f>
        <v>5</v>
      </c>
      <c r="H74">
        <f>COUNTIF($A$2:A74,B74)+COUNTIF($B$2:B74,B74)</f>
        <v>5</v>
      </c>
    </row>
    <row r="75" spans="1:8" x14ac:dyDescent="0.35">
      <c r="A75" t="s">
        <v>35</v>
      </c>
      <c r="B75" t="s">
        <v>28</v>
      </c>
      <c r="C75">
        <v>3</v>
      </c>
      <c r="D75">
        <v>6</v>
      </c>
      <c r="E75">
        <f>SIGN(C75-D75)</f>
        <v>-1</v>
      </c>
      <c r="F75">
        <f>SIGN(D75-C75)</f>
        <v>1</v>
      </c>
      <c r="G75">
        <f>COUNTIF($A$2:A75,A75)+COUNTIF($B$2:B75,A75)</f>
        <v>5</v>
      </c>
      <c r="H75">
        <f>COUNTIF($A$2:A75,B75)+COUNTIF($B$2:B75,B75)</f>
        <v>5</v>
      </c>
    </row>
    <row r="76" spans="1:8" x14ac:dyDescent="0.35">
      <c r="A76" t="s">
        <v>9</v>
      </c>
      <c r="B76" t="s">
        <v>29</v>
      </c>
      <c r="C76">
        <v>10</v>
      </c>
      <c r="D76">
        <v>38</v>
      </c>
      <c r="E76">
        <f>SIGN(C76-D76)</f>
        <v>-1</v>
      </c>
      <c r="F76">
        <f>SIGN(D76-C76)</f>
        <v>1</v>
      </c>
      <c r="G76">
        <f>COUNTIF($A$2:A76,A76)+COUNTIF($B$2:B76,A76)</f>
        <v>5</v>
      </c>
      <c r="H76">
        <f>COUNTIF($A$2:A76,B76)+COUNTIF($B$2:B76,B76)</f>
        <v>5</v>
      </c>
    </row>
    <row r="77" spans="1:8" x14ac:dyDescent="0.35">
      <c r="A77" t="s">
        <v>7</v>
      </c>
      <c r="B77" t="s">
        <v>15</v>
      </c>
      <c r="C77">
        <v>31</v>
      </c>
      <c r="D77">
        <v>27</v>
      </c>
      <c r="E77">
        <f>SIGN(C77-D77)</f>
        <v>1</v>
      </c>
      <c r="F77">
        <f>SIGN(D77-C77)</f>
        <v>-1</v>
      </c>
      <c r="G77">
        <f>COUNTIF($A$2:A77,A77)+COUNTIF($B$2:B77,A77)</f>
        <v>5</v>
      </c>
      <c r="H77">
        <f>COUNTIF($A$2:A77,B77)+COUNTIF($B$2:B77,B77)</f>
        <v>5</v>
      </c>
    </row>
    <row r="78" spans="1:8" x14ac:dyDescent="0.35">
      <c r="A78" t="s">
        <v>16</v>
      </c>
      <c r="B78" t="s">
        <v>10</v>
      </c>
      <c r="C78">
        <v>48</v>
      </c>
      <c r="D78">
        <v>27</v>
      </c>
      <c r="E78">
        <f>SIGN(C78-D78)</f>
        <v>1</v>
      </c>
      <c r="F78">
        <f>SIGN(D78-C78)</f>
        <v>-1</v>
      </c>
      <c r="G78">
        <f>COUNTIF($A$2:A78,A78)+COUNTIF($B$2:B78,A78)</f>
        <v>5</v>
      </c>
      <c r="H78">
        <f>COUNTIF($A$2:A78,B78)+COUNTIF($B$2:B78,B78)</f>
        <v>6</v>
      </c>
    </row>
    <row r="79" spans="1:8" x14ac:dyDescent="0.35">
      <c r="A79" t="s">
        <v>32</v>
      </c>
      <c r="B79" t="s">
        <v>23</v>
      </c>
      <c r="C79">
        <v>13</v>
      </c>
      <c r="D79">
        <v>9</v>
      </c>
      <c r="E79">
        <f>SIGN(C79-D79)</f>
        <v>1</v>
      </c>
      <c r="F79">
        <f>SIGN(D79-C79)</f>
        <v>-1</v>
      </c>
      <c r="G79">
        <f>COUNTIF($A$2:A79,A79)+COUNTIF($B$2:B79,A79)</f>
        <v>6</v>
      </c>
      <c r="H79">
        <f>COUNTIF($A$2:A79,B79)+COUNTIF($B$2:B79,B79)</f>
        <v>5</v>
      </c>
    </row>
    <row r="80" spans="1:8" x14ac:dyDescent="0.35">
      <c r="A80" t="s">
        <v>8</v>
      </c>
      <c r="B80" t="s">
        <v>20</v>
      </c>
      <c r="C80">
        <v>3</v>
      </c>
      <c r="D80">
        <v>27</v>
      </c>
      <c r="E80">
        <f>SIGN(C80-D80)</f>
        <v>-1</v>
      </c>
      <c r="F80">
        <f>SIGN(D80-C80)</f>
        <v>1</v>
      </c>
      <c r="G80">
        <f>COUNTIF($A$2:A80,A80)+COUNTIF($B$2:B80,A80)</f>
        <v>6</v>
      </c>
      <c r="H80">
        <f>COUNTIF($A$2:A80,B80)+COUNTIF($B$2:B80,B80)</f>
        <v>5</v>
      </c>
    </row>
    <row r="81" spans="1:8" x14ac:dyDescent="0.35">
      <c r="A81" t="s">
        <v>18</v>
      </c>
      <c r="B81" t="s">
        <v>22</v>
      </c>
      <c r="C81">
        <v>21</v>
      </c>
      <c r="D81">
        <v>28</v>
      </c>
      <c r="E81">
        <f>SIGN(C81-D81)</f>
        <v>-1</v>
      </c>
      <c r="F81">
        <f>SIGN(D81-C81)</f>
        <v>1</v>
      </c>
      <c r="G81">
        <f>COUNTIF($A$2:A81,A81)+COUNTIF($B$2:B81,A81)</f>
        <v>6</v>
      </c>
      <c r="H81">
        <f>COUNTIF($A$2:A81,B81)+COUNTIF($B$2:B81,B81)</f>
        <v>5</v>
      </c>
    </row>
    <row r="82" spans="1:8" x14ac:dyDescent="0.35">
      <c r="A82" t="s">
        <v>6</v>
      </c>
      <c r="B82" t="s">
        <v>25</v>
      </c>
      <c r="C82">
        <v>21</v>
      </c>
      <c r="D82">
        <v>14</v>
      </c>
      <c r="E82">
        <f>SIGN(C82-D82)</f>
        <v>1</v>
      </c>
      <c r="F82">
        <f>SIGN(D82-C82)</f>
        <v>-1</v>
      </c>
      <c r="G82">
        <f>COUNTIF($A$2:A82,A82)+COUNTIF($B$2:B82,A82)</f>
        <v>5</v>
      </c>
      <c r="H82">
        <f>COUNTIF($A$2:A82,B82)+COUNTIF($B$2:B82,B82)</f>
        <v>5</v>
      </c>
    </row>
    <row r="83" spans="1:8" x14ac:dyDescent="0.35">
      <c r="A83" t="s">
        <v>34</v>
      </c>
      <c r="B83" t="s">
        <v>5</v>
      </c>
      <c r="C83">
        <v>59</v>
      </c>
      <c r="D83">
        <v>0</v>
      </c>
      <c r="E83">
        <f>SIGN(C83-D83)</f>
        <v>1</v>
      </c>
      <c r="F83">
        <f>SIGN(D83-C83)</f>
        <v>-1</v>
      </c>
      <c r="G83">
        <f>COUNTIF($A$2:A83,A83)+COUNTIF($B$2:B83,A83)</f>
        <v>6</v>
      </c>
      <c r="H83">
        <f>COUNTIF($A$2:A83,B83)+COUNTIF($B$2:B83,B83)</f>
        <v>6</v>
      </c>
    </row>
    <row r="84" spans="1:8" x14ac:dyDescent="0.35">
      <c r="A84" t="s">
        <v>29</v>
      </c>
      <c r="B84" t="s">
        <v>12</v>
      </c>
      <c r="C84">
        <v>33</v>
      </c>
      <c r="D84">
        <v>31</v>
      </c>
      <c r="E84">
        <f>SIGN(C84-D84)</f>
        <v>1</v>
      </c>
      <c r="F84">
        <f>SIGN(D84-C84)</f>
        <v>-1</v>
      </c>
      <c r="G84">
        <f>COUNTIF($A$2:A84,A84)+COUNTIF($B$2:B84,A84)</f>
        <v>6</v>
      </c>
      <c r="H84">
        <f>COUNTIF($A$2:A84,B84)+COUNTIF($B$2:B84,B84)</f>
        <v>6</v>
      </c>
    </row>
    <row r="85" spans="1:8" x14ac:dyDescent="0.35">
      <c r="A85" t="s">
        <v>11</v>
      </c>
      <c r="B85" t="s">
        <v>13</v>
      </c>
      <c r="C85">
        <v>6</v>
      </c>
      <c r="D85">
        <v>14</v>
      </c>
      <c r="E85">
        <f>SIGN(C85-D85)</f>
        <v>-1</v>
      </c>
      <c r="F85">
        <f>SIGN(D85-C85)</f>
        <v>1</v>
      </c>
      <c r="G85">
        <f>COUNTIF($A$2:A85,A85)+COUNTIF($B$2:B85,A85)</f>
        <v>6</v>
      </c>
      <c r="H85">
        <f>COUNTIF($A$2:A85,B85)+COUNTIF($B$2:B85,B85)</f>
        <v>6</v>
      </c>
    </row>
    <row r="86" spans="1:8" x14ac:dyDescent="0.35">
      <c r="A86" t="s">
        <v>31</v>
      </c>
      <c r="B86" t="s">
        <v>9</v>
      </c>
      <c r="C86">
        <v>23</v>
      </c>
      <c r="D86">
        <v>20</v>
      </c>
      <c r="E86">
        <f>SIGN(C86-D86)</f>
        <v>1</v>
      </c>
      <c r="F86">
        <f>SIGN(D86-C86)</f>
        <v>-1</v>
      </c>
      <c r="G86">
        <f>COUNTIF($A$2:A86,A86)+COUNTIF($B$2:B86,A86)</f>
        <v>6</v>
      </c>
      <c r="H86">
        <f>COUNTIF($A$2:A86,B86)+COUNTIF($B$2:B86,B86)</f>
        <v>6</v>
      </c>
    </row>
    <row r="87" spans="1:8" x14ac:dyDescent="0.35">
      <c r="A87" t="s">
        <v>24</v>
      </c>
      <c r="B87" t="s">
        <v>17</v>
      </c>
      <c r="C87">
        <v>26</v>
      </c>
      <c r="D87">
        <v>0</v>
      </c>
      <c r="E87">
        <f>SIGN(C87-D87)</f>
        <v>1</v>
      </c>
      <c r="F87">
        <f>SIGN(D87-C87)</f>
        <v>-1</v>
      </c>
      <c r="G87">
        <f>COUNTIF($A$2:A87,A87)+COUNTIF($B$2:B87,A87)</f>
        <v>5</v>
      </c>
      <c r="H87">
        <f>COUNTIF($A$2:A87,B87)+COUNTIF($B$2:B87,B87)</f>
        <v>6</v>
      </c>
    </row>
    <row r="88" spans="1:8" x14ac:dyDescent="0.35">
      <c r="A88" t="s">
        <v>4</v>
      </c>
      <c r="B88" t="s">
        <v>28</v>
      </c>
      <c r="C88">
        <v>27</v>
      </c>
      <c r="D88">
        <v>14</v>
      </c>
      <c r="E88">
        <f>SIGN(C88-D88)</f>
        <v>1</v>
      </c>
      <c r="F88">
        <f>SIGN(D88-C88)</f>
        <v>-1</v>
      </c>
      <c r="G88">
        <f>COUNTIF($A$2:A88,A88)+COUNTIF($B$2:B88,A88)</f>
        <v>6</v>
      </c>
      <c r="H88">
        <f>COUNTIF($A$2:A88,B88)+COUNTIF($B$2:B88,B88)</f>
        <v>6</v>
      </c>
    </row>
    <row r="89" spans="1:8" x14ac:dyDescent="0.35">
      <c r="A89" t="s">
        <v>26</v>
      </c>
      <c r="B89" t="s">
        <v>14</v>
      </c>
      <c r="C89">
        <v>17</v>
      </c>
      <c r="D89">
        <v>28</v>
      </c>
      <c r="E89">
        <f>SIGN(C89-D89)</f>
        <v>-1</v>
      </c>
      <c r="F89">
        <f>SIGN(D89-C89)</f>
        <v>1</v>
      </c>
      <c r="G89">
        <f>COUNTIF($A$2:A89,A89)+COUNTIF($B$2:B89,A89)</f>
        <v>6</v>
      </c>
      <c r="H89">
        <f>COUNTIF($A$2:A89,B89)+COUNTIF($B$2:B89,B89)</f>
        <v>6</v>
      </c>
    </row>
    <row r="90" spans="1:8" x14ac:dyDescent="0.35">
      <c r="A90" t="s">
        <v>15</v>
      </c>
      <c r="B90" t="s">
        <v>35</v>
      </c>
      <c r="C90">
        <v>13</v>
      </c>
      <c r="D90">
        <v>16</v>
      </c>
      <c r="E90">
        <f>SIGN(C90-D90)</f>
        <v>-1</v>
      </c>
      <c r="F90">
        <f>SIGN(D90-C90)</f>
        <v>1</v>
      </c>
      <c r="G90">
        <f>COUNTIF($A$2:A90,A90)+COUNTIF($B$2:B90,A90)</f>
        <v>6</v>
      </c>
      <c r="H90">
        <f>COUNTIF($A$2:A90,B90)+COUNTIF($B$2:B90,B90)</f>
        <v>6</v>
      </c>
    </row>
    <row r="91" spans="1:8" x14ac:dyDescent="0.35">
      <c r="A91" t="s">
        <v>33</v>
      </c>
      <c r="B91" t="s">
        <v>27</v>
      </c>
      <c r="C91">
        <v>23</v>
      </c>
      <c r="D91">
        <v>34</v>
      </c>
      <c r="E91">
        <f>SIGN(C91-D91)</f>
        <v>-1</v>
      </c>
      <c r="F91">
        <f>SIGN(D91-C91)</f>
        <v>1</v>
      </c>
      <c r="G91">
        <f>COUNTIF($A$2:A91,A91)+COUNTIF($B$2:B91,A91)</f>
        <v>5</v>
      </c>
      <c r="H91">
        <f>COUNTIF($A$2:A91,B91)+COUNTIF($B$2:B91,B91)</f>
        <v>6</v>
      </c>
    </row>
    <row r="92" spans="1:8" x14ac:dyDescent="0.35">
      <c r="A92" t="s">
        <v>9</v>
      </c>
      <c r="B92" t="s">
        <v>30</v>
      </c>
      <c r="C92">
        <v>6</v>
      </c>
      <c r="D92">
        <v>42</v>
      </c>
      <c r="E92">
        <f>SIGN(C92-D92)</f>
        <v>-1</v>
      </c>
      <c r="F92">
        <f>SIGN(D92-C92)</f>
        <v>1</v>
      </c>
      <c r="G92">
        <f>COUNTIF($A$2:A92,A92)+COUNTIF($B$2:B92,A92)</f>
        <v>7</v>
      </c>
      <c r="H92">
        <f>COUNTIF($A$2:A92,B92)+COUNTIF($B$2:B92,B92)</f>
        <v>6</v>
      </c>
    </row>
    <row r="93" spans="1:8" x14ac:dyDescent="0.35">
      <c r="A93" t="s">
        <v>19</v>
      </c>
      <c r="B93" t="s">
        <v>6</v>
      </c>
      <c r="C93">
        <v>37</v>
      </c>
      <c r="D93">
        <v>21</v>
      </c>
      <c r="E93">
        <f>SIGN(C93-D93)</f>
        <v>1</v>
      </c>
      <c r="F93">
        <f>SIGN(D93-C93)</f>
        <v>-1</v>
      </c>
      <c r="G93">
        <f>COUNTIF($A$2:A93,A93)+COUNTIF($B$2:B93,A93)</f>
        <v>6</v>
      </c>
      <c r="H93">
        <f>COUNTIF($A$2:A93,B93)+COUNTIF($B$2:B93,B93)</f>
        <v>6</v>
      </c>
    </row>
    <row r="94" spans="1:8" x14ac:dyDescent="0.35">
      <c r="A94" t="s">
        <v>7</v>
      </c>
      <c r="B94" t="s">
        <v>16</v>
      </c>
      <c r="C94">
        <v>34</v>
      </c>
      <c r="D94">
        <v>46</v>
      </c>
      <c r="E94">
        <f>SIGN(C94-D94)</f>
        <v>-1</v>
      </c>
      <c r="F94">
        <f>SIGN(D94-C94)</f>
        <v>1</v>
      </c>
      <c r="G94">
        <f>COUNTIF($A$2:A94,A94)+COUNTIF($B$2:B94,A94)</f>
        <v>6</v>
      </c>
      <c r="H94">
        <f>COUNTIF($A$2:A94,B94)+COUNTIF($B$2:B94,B94)</f>
        <v>6</v>
      </c>
    </row>
    <row r="95" spans="1:8" x14ac:dyDescent="0.35">
      <c r="A95" t="s">
        <v>26</v>
      </c>
      <c r="B95" t="s">
        <v>25</v>
      </c>
      <c r="C95">
        <v>45</v>
      </c>
      <c r="D95">
        <v>10</v>
      </c>
      <c r="E95">
        <f>SIGN(C95-D95)</f>
        <v>1</v>
      </c>
      <c r="F95">
        <f>SIGN(D95-C95)</f>
        <v>-1</v>
      </c>
      <c r="G95">
        <f>COUNTIF($A$2:A95,A95)+COUNTIF($B$2:B95,A95)</f>
        <v>7</v>
      </c>
      <c r="H95">
        <f>COUNTIF($A$2:A95,B95)+COUNTIF($B$2:B95,B95)</f>
        <v>6</v>
      </c>
    </row>
    <row r="96" spans="1:8" x14ac:dyDescent="0.35">
      <c r="A96" t="s">
        <v>10</v>
      </c>
      <c r="B96" t="s">
        <v>20</v>
      </c>
      <c r="C96">
        <v>17</v>
      </c>
      <c r="D96">
        <v>24</v>
      </c>
      <c r="E96">
        <f>SIGN(C96-D96)</f>
        <v>-1</v>
      </c>
      <c r="F96">
        <f>SIGN(D96-C96)</f>
        <v>1</v>
      </c>
      <c r="G96">
        <f>COUNTIF($A$2:A96,A96)+COUNTIF($B$2:B96,A96)</f>
        <v>7</v>
      </c>
      <c r="H96">
        <f>COUNTIF($A$2:A96,B96)+COUNTIF($B$2:B96,B96)</f>
        <v>6</v>
      </c>
    </row>
    <row r="97" spans="1:8" x14ac:dyDescent="0.35">
      <c r="A97" t="s">
        <v>13</v>
      </c>
      <c r="B97" t="s">
        <v>33</v>
      </c>
      <c r="C97">
        <v>7</v>
      </c>
      <c r="D97">
        <v>37</v>
      </c>
      <c r="E97">
        <f>SIGN(C97-D97)</f>
        <v>-1</v>
      </c>
      <c r="F97">
        <f>SIGN(D97-C97)</f>
        <v>1</v>
      </c>
      <c r="G97">
        <f>COUNTIF($A$2:A97,A97)+COUNTIF($B$2:B97,A97)</f>
        <v>7</v>
      </c>
      <c r="H97">
        <f>COUNTIF($A$2:A97,B97)+COUNTIF($B$2:B97,B97)</f>
        <v>6</v>
      </c>
    </row>
    <row r="98" spans="1:8" x14ac:dyDescent="0.35">
      <c r="A98" t="s">
        <v>28</v>
      </c>
      <c r="B98" t="s">
        <v>24</v>
      </c>
      <c r="C98">
        <v>3</v>
      </c>
      <c r="D98">
        <v>31</v>
      </c>
      <c r="E98">
        <f>SIGN(C98-D98)</f>
        <v>-1</v>
      </c>
      <c r="F98">
        <f>SIGN(D98-C98)</f>
        <v>1</v>
      </c>
      <c r="G98">
        <f>COUNTIF($A$2:A98,A98)+COUNTIF($B$2:B98,A98)</f>
        <v>7</v>
      </c>
      <c r="H98">
        <f>COUNTIF($A$2:A98,B98)+COUNTIF($B$2:B98,B98)</f>
        <v>6</v>
      </c>
    </row>
    <row r="99" spans="1:8" x14ac:dyDescent="0.35">
      <c r="A99" t="s">
        <v>4</v>
      </c>
      <c r="B99" t="s">
        <v>29</v>
      </c>
      <c r="C99">
        <v>27</v>
      </c>
      <c r="D99">
        <v>17</v>
      </c>
      <c r="E99">
        <f>SIGN(C99-D99)</f>
        <v>1</v>
      </c>
      <c r="F99">
        <f>SIGN(D99-C99)</f>
        <v>-1</v>
      </c>
      <c r="G99">
        <f>COUNTIF($A$2:A99,A99)+COUNTIF($B$2:B99,A99)</f>
        <v>7</v>
      </c>
      <c r="H99">
        <f>COUNTIF($A$2:A99,B99)+COUNTIF($B$2:B99,B99)</f>
        <v>7</v>
      </c>
    </row>
    <row r="100" spans="1:8" x14ac:dyDescent="0.35">
      <c r="A100" t="s">
        <v>18</v>
      </c>
      <c r="B100" t="s">
        <v>34</v>
      </c>
      <c r="C100">
        <v>7</v>
      </c>
      <c r="D100">
        <v>35</v>
      </c>
      <c r="E100">
        <f>SIGN(C100-D100)</f>
        <v>-1</v>
      </c>
      <c r="F100">
        <f>SIGN(D100-C100)</f>
        <v>1</v>
      </c>
      <c r="G100">
        <f>COUNTIF($A$2:A100,A100)+COUNTIF($B$2:B100,A100)</f>
        <v>7</v>
      </c>
      <c r="H100">
        <f>COUNTIF($A$2:A100,B100)+COUNTIF($B$2:B100,B100)</f>
        <v>7</v>
      </c>
    </row>
    <row r="101" spans="1:8" x14ac:dyDescent="0.35">
      <c r="A101" t="s">
        <v>22</v>
      </c>
      <c r="B101" t="s">
        <v>35</v>
      </c>
      <c r="C101">
        <v>9</v>
      </c>
      <c r="D101">
        <v>20</v>
      </c>
      <c r="E101">
        <f>SIGN(C101-D101)</f>
        <v>-1</v>
      </c>
      <c r="F101">
        <f>SIGN(D101-C101)</f>
        <v>1</v>
      </c>
      <c r="G101">
        <f>COUNTIF($A$2:A101,A101)+COUNTIF($B$2:B101,A101)</f>
        <v>6</v>
      </c>
      <c r="H101">
        <f>COUNTIF($A$2:A101,B101)+COUNTIF($B$2:B101,B101)</f>
        <v>7</v>
      </c>
    </row>
    <row r="102" spans="1:8" x14ac:dyDescent="0.35">
      <c r="A102" t="s">
        <v>32</v>
      </c>
      <c r="B102" t="s">
        <v>15</v>
      </c>
      <c r="C102">
        <v>0</v>
      </c>
      <c r="D102">
        <v>38</v>
      </c>
      <c r="E102">
        <f>SIGN(C102-D102)</f>
        <v>-1</v>
      </c>
      <c r="F102">
        <f>SIGN(D102-C102)</f>
        <v>1</v>
      </c>
      <c r="G102">
        <f>COUNTIF($A$2:A102,A102)+COUNTIF($B$2:B102,A102)</f>
        <v>7</v>
      </c>
      <c r="H102">
        <f>COUNTIF($A$2:A102,B102)+COUNTIF($B$2:B102,B102)</f>
        <v>7</v>
      </c>
    </row>
    <row r="103" spans="1:8" x14ac:dyDescent="0.35">
      <c r="A103" t="s">
        <v>14</v>
      </c>
      <c r="B103" t="s">
        <v>21</v>
      </c>
      <c r="C103">
        <v>24</v>
      </c>
      <c r="D103">
        <v>21</v>
      </c>
      <c r="E103">
        <f>SIGN(C103-D103)</f>
        <v>1</v>
      </c>
      <c r="F103">
        <f>SIGN(D103-C103)</f>
        <v>-1</v>
      </c>
      <c r="G103">
        <f>COUNTIF($A$2:A103,A103)+COUNTIF($B$2:B103,A103)</f>
        <v>7</v>
      </c>
      <c r="H103">
        <f>COUNTIF($A$2:A103,B103)+COUNTIF($B$2:B103,B103)</f>
        <v>6</v>
      </c>
    </row>
    <row r="104" spans="1:8" x14ac:dyDescent="0.35">
      <c r="A104" t="s">
        <v>11</v>
      </c>
      <c r="B104" t="s">
        <v>23</v>
      </c>
      <c r="C104">
        <v>17</v>
      </c>
      <c r="D104">
        <v>27</v>
      </c>
      <c r="E104">
        <f>SIGN(C104-D104)</f>
        <v>-1</v>
      </c>
      <c r="F104">
        <f>SIGN(D104-C104)</f>
        <v>1</v>
      </c>
      <c r="G104">
        <f>COUNTIF($A$2:A104,A104)+COUNTIF($B$2:B104,A104)</f>
        <v>7</v>
      </c>
      <c r="H104">
        <f>COUNTIF($A$2:A104,B104)+COUNTIF($B$2:B104,B104)</f>
        <v>6</v>
      </c>
    </row>
    <row r="105" spans="1:8" x14ac:dyDescent="0.35">
      <c r="A105" t="s">
        <v>15</v>
      </c>
      <c r="B105" t="s">
        <v>7</v>
      </c>
      <c r="C105">
        <v>25</v>
      </c>
      <c r="D105">
        <v>30</v>
      </c>
      <c r="E105">
        <f>SIGN(C105-D105)</f>
        <v>-1</v>
      </c>
      <c r="F105">
        <f>SIGN(D105-C105)</f>
        <v>1</v>
      </c>
      <c r="G105">
        <f>COUNTIF($A$2:A105,A105)+COUNTIF($B$2:B105,A105)</f>
        <v>8</v>
      </c>
      <c r="H105">
        <f>COUNTIF($A$2:A105,B105)+COUNTIF($B$2:B105,B105)</f>
        <v>7</v>
      </c>
    </row>
    <row r="106" spans="1:8" x14ac:dyDescent="0.35">
      <c r="A106" t="s">
        <v>5</v>
      </c>
      <c r="B106" t="s">
        <v>31</v>
      </c>
      <c r="C106">
        <v>30</v>
      </c>
      <c r="D106">
        <v>13</v>
      </c>
      <c r="E106">
        <f>SIGN(C106-D106)</f>
        <v>1</v>
      </c>
      <c r="F106">
        <f>SIGN(D106-C106)</f>
        <v>-1</v>
      </c>
      <c r="G106">
        <f>COUNTIF($A$2:A106,A106)+COUNTIF($B$2:B106,A106)</f>
        <v>7</v>
      </c>
      <c r="H106">
        <f>COUNTIF($A$2:A106,B106)+COUNTIF($B$2:B106,B106)</f>
        <v>7</v>
      </c>
    </row>
    <row r="107" spans="1:8" x14ac:dyDescent="0.35">
      <c r="A107" t="s">
        <v>24</v>
      </c>
      <c r="B107" t="s">
        <v>29</v>
      </c>
      <c r="C107">
        <v>26</v>
      </c>
      <c r="D107">
        <v>38</v>
      </c>
      <c r="E107">
        <f>SIGN(C107-D107)</f>
        <v>-1</v>
      </c>
      <c r="F107">
        <f>SIGN(D107-C107)</f>
        <v>1</v>
      </c>
      <c r="G107">
        <f>COUNTIF($A$2:A107,A107)+COUNTIF($B$2:B107,A107)</f>
        <v>7</v>
      </c>
      <c r="H107">
        <f>COUNTIF($A$2:A107,B107)+COUNTIF($B$2:B107,B107)</f>
        <v>8</v>
      </c>
    </row>
    <row r="108" spans="1:8" x14ac:dyDescent="0.35">
      <c r="A108" t="s">
        <v>17</v>
      </c>
      <c r="B108" t="s">
        <v>9</v>
      </c>
      <c r="C108">
        <v>10</v>
      </c>
      <c r="D108">
        <v>17</v>
      </c>
      <c r="E108">
        <f>SIGN(C108-D108)</f>
        <v>-1</v>
      </c>
      <c r="F108">
        <f>SIGN(D108-C108)</f>
        <v>1</v>
      </c>
      <c r="G108">
        <f>COUNTIF($A$2:A108,A108)+COUNTIF($B$2:B108,A108)</f>
        <v>7</v>
      </c>
      <c r="H108">
        <f>COUNTIF($A$2:A108,B108)+COUNTIF($B$2:B108,B108)</f>
        <v>8</v>
      </c>
    </row>
    <row r="109" spans="1:8" x14ac:dyDescent="0.35">
      <c r="A109" t="s">
        <v>12</v>
      </c>
      <c r="B109" t="s">
        <v>27</v>
      </c>
      <c r="C109">
        <v>30</v>
      </c>
      <c r="D109">
        <v>7</v>
      </c>
      <c r="E109">
        <f>SIGN(C109-D109)</f>
        <v>1</v>
      </c>
      <c r="F109">
        <f>SIGN(D109-C109)</f>
        <v>-1</v>
      </c>
      <c r="G109">
        <f>COUNTIF($A$2:A109,A109)+COUNTIF($B$2:B109,A109)</f>
        <v>7</v>
      </c>
      <c r="H109">
        <f>COUNTIF($A$2:A109,B109)+COUNTIF($B$2:B109,B109)</f>
        <v>7</v>
      </c>
    </row>
    <row r="110" spans="1:8" x14ac:dyDescent="0.35">
      <c r="A110" t="s">
        <v>19</v>
      </c>
      <c r="B110" t="s">
        <v>8</v>
      </c>
      <c r="C110">
        <v>38</v>
      </c>
      <c r="D110">
        <v>17</v>
      </c>
      <c r="E110">
        <f>SIGN(C110-D110)</f>
        <v>1</v>
      </c>
      <c r="F110">
        <f>SIGN(D110-C110)</f>
        <v>-1</v>
      </c>
      <c r="G110">
        <f>COUNTIF($A$2:A110,A110)+COUNTIF($B$2:B110,A110)</f>
        <v>7</v>
      </c>
      <c r="H110">
        <f>COUNTIF($A$2:A110,B110)+COUNTIF($B$2:B110,B110)</f>
        <v>7</v>
      </c>
    </row>
    <row r="111" spans="1:8" x14ac:dyDescent="0.35">
      <c r="A111" t="s">
        <v>30</v>
      </c>
      <c r="B111" t="s">
        <v>21</v>
      </c>
      <c r="C111">
        <v>18</v>
      </c>
      <c r="D111">
        <v>14</v>
      </c>
      <c r="E111">
        <f>SIGN(C111-D111)</f>
        <v>1</v>
      </c>
      <c r="F111">
        <f>SIGN(D111-C111)</f>
        <v>-1</v>
      </c>
      <c r="G111">
        <f>COUNTIF($A$2:A111,A111)+COUNTIF($B$2:B111,A111)</f>
        <v>7</v>
      </c>
      <c r="H111">
        <f>COUNTIF($A$2:A111,B111)+COUNTIF($B$2:B111,B111)</f>
        <v>7</v>
      </c>
    </row>
    <row r="112" spans="1:8" x14ac:dyDescent="0.35">
      <c r="A112" t="s">
        <v>25</v>
      </c>
      <c r="B112" t="s">
        <v>28</v>
      </c>
      <c r="C112">
        <v>30</v>
      </c>
      <c r="D112">
        <v>6</v>
      </c>
      <c r="E112">
        <f>SIGN(C112-D112)</f>
        <v>1</v>
      </c>
      <c r="F112">
        <f>SIGN(D112-C112)</f>
        <v>-1</v>
      </c>
      <c r="G112">
        <f>COUNTIF($A$2:A112,A112)+COUNTIF($B$2:B112,A112)</f>
        <v>7</v>
      </c>
      <c r="H112">
        <f>COUNTIF($A$2:A112,B112)+COUNTIF($B$2:B112,B112)</f>
        <v>8</v>
      </c>
    </row>
    <row r="113" spans="1:8" x14ac:dyDescent="0.35">
      <c r="A113" t="s">
        <v>20</v>
      </c>
      <c r="B113" t="s">
        <v>22</v>
      </c>
      <c r="C113">
        <v>21</v>
      </c>
      <c r="D113">
        <v>34</v>
      </c>
      <c r="E113">
        <f>SIGN(C113-D113)</f>
        <v>-1</v>
      </c>
      <c r="F113">
        <f>SIGN(D113-C113)</f>
        <v>1</v>
      </c>
      <c r="G113">
        <f>COUNTIF($A$2:A113,A113)+COUNTIF($B$2:B113,A113)</f>
        <v>7</v>
      </c>
      <c r="H113">
        <f>COUNTIF($A$2:A113,B113)+COUNTIF($B$2:B113,B113)</f>
        <v>7</v>
      </c>
    </row>
    <row r="114" spans="1:8" x14ac:dyDescent="0.35">
      <c r="A114" t="s">
        <v>23</v>
      </c>
      <c r="B114" t="s">
        <v>10</v>
      </c>
      <c r="C114">
        <v>40</v>
      </c>
      <c r="D114">
        <v>17</v>
      </c>
      <c r="E114">
        <f>SIGN(C114-D114)</f>
        <v>1</v>
      </c>
      <c r="F114">
        <f>SIGN(D114-C114)</f>
        <v>-1</v>
      </c>
      <c r="G114">
        <f>COUNTIF($A$2:A114,A114)+COUNTIF($B$2:B114,A114)</f>
        <v>7</v>
      </c>
      <c r="H114">
        <f>COUNTIF($A$2:A114,B114)+COUNTIF($B$2:B114,B114)</f>
        <v>8</v>
      </c>
    </row>
    <row r="115" spans="1:8" x14ac:dyDescent="0.35">
      <c r="A115" t="s">
        <v>35</v>
      </c>
      <c r="B115" t="s">
        <v>14</v>
      </c>
      <c r="C115">
        <v>10</v>
      </c>
      <c r="D115">
        <v>31</v>
      </c>
      <c r="E115">
        <f>SIGN(C115-D115)</f>
        <v>-1</v>
      </c>
      <c r="F115">
        <f>SIGN(D115-C115)</f>
        <v>1</v>
      </c>
      <c r="G115">
        <f>COUNTIF($A$2:A115,A115)+COUNTIF($B$2:B115,A115)</f>
        <v>8</v>
      </c>
      <c r="H115">
        <f>COUNTIF($A$2:A115,B115)+COUNTIF($B$2:B115,B115)</f>
        <v>8</v>
      </c>
    </row>
    <row r="116" spans="1:8" x14ac:dyDescent="0.35">
      <c r="A116" t="s">
        <v>33</v>
      </c>
      <c r="B116" t="s">
        <v>32</v>
      </c>
      <c r="C116">
        <v>24</v>
      </c>
      <c r="D116">
        <v>16</v>
      </c>
      <c r="E116">
        <f>SIGN(C116-D116)</f>
        <v>1</v>
      </c>
      <c r="F116">
        <f>SIGN(D116-C116)</f>
        <v>-1</v>
      </c>
      <c r="G116">
        <f>COUNTIF($A$2:A116,A116)+COUNTIF($B$2:B116,A116)</f>
        <v>7</v>
      </c>
      <c r="H116">
        <f>COUNTIF($A$2:A116,B116)+COUNTIF($B$2:B116,B116)</f>
        <v>8</v>
      </c>
    </row>
    <row r="117" spans="1:8" x14ac:dyDescent="0.35">
      <c r="A117" t="s">
        <v>16</v>
      </c>
      <c r="B117" t="s">
        <v>6</v>
      </c>
      <c r="C117">
        <v>35</v>
      </c>
      <c r="D117">
        <v>27</v>
      </c>
      <c r="E117">
        <f>SIGN(C117-D117)</f>
        <v>1</v>
      </c>
      <c r="F117">
        <f>SIGN(D117-C117)</f>
        <v>-1</v>
      </c>
      <c r="G117">
        <f>COUNTIF($A$2:A117,A117)+COUNTIF($B$2:B117,A117)</f>
        <v>7</v>
      </c>
      <c r="H117">
        <f>COUNTIF($A$2:A117,B117)+COUNTIF($B$2:B117,B117)</f>
        <v>7</v>
      </c>
    </row>
    <row r="118" spans="1:8" x14ac:dyDescent="0.35">
      <c r="A118" t="s">
        <v>21</v>
      </c>
      <c r="B118" t="s">
        <v>5</v>
      </c>
      <c r="C118">
        <v>27</v>
      </c>
      <c r="D118">
        <v>34</v>
      </c>
      <c r="E118">
        <f>SIGN(C118-D118)</f>
        <v>-1</v>
      </c>
      <c r="F118">
        <f>SIGN(D118-C118)</f>
        <v>1</v>
      </c>
      <c r="G118">
        <f>COUNTIF($A$2:A118,A118)+COUNTIF($B$2:B118,A118)</f>
        <v>8</v>
      </c>
      <c r="H118">
        <f>COUNTIF($A$2:A118,B118)+COUNTIF($B$2:B118,B118)</f>
        <v>8</v>
      </c>
    </row>
    <row r="119" spans="1:8" x14ac:dyDescent="0.35">
      <c r="A119" t="s">
        <v>34</v>
      </c>
      <c r="B119" t="s">
        <v>7</v>
      </c>
      <c r="C119">
        <v>27</v>
      </c>
      <c r="D119">
        <v>17</v>
      </c>
      <c r="E119">
        <f>SIGN(C119-D119)</f>
        <v>1</v>
      </c>
      <c r="F119">
        <f>SIGN(D119-C119)</f>
        <v>-1</v>
      </c>
      <c r="G119">
        <f>COUNTIF($A$2:A119,A119)+COUNTIF($B$2:B119,A119)</f>
        <v>8</v>
      </c>
      <c r="H119">
        <f>COUNTIF($A$2:A119,B119)+COUNTIF($B$2:B119,B119)</f>
        <v>8</v>
      </c>
    </row>
    <row r="120" spans="1:8" x14ac:dyDescent="0.35">
      <c r="A120" t="s">
        <v>31</v>
      </c>
      <c r="B120" t="s">
        <v>13</v>
      </c>
      <c r="C120">
        <v>24</v>
      </c>
      <c r="D120">
        <v>21</v>
      </c>
      <c r="E120">
        <f>SIGN(C120-D120)</f>
        <v>1</v>
      </c>
      <c r="F120">
        <f>SIGN(D120-C120)</f>
        <v>-1</v>
      </c>
      <c r="G120">
        <f>COUNTIF($A$2:A120,A120)+COUNTIF($B$2:B120,A120)</f>
        <v>8</v>
      </c>
      <c r="H120">
        <f>COUNTIF($A$2:A120,B120)+COUNTIF($B$2:B120,B120)</f>
        <v>8</v>
      </c>
    </row>
    <row r="121" spans="1:8" x14ac:dyDescent="0.35">
      <c r="A121" t="s">
        <v>18</v>
      </c>
      <c r="B121" t="s">
        <v>24</v>
      </c>
      <c r="C121">
        <v>38</v>
      </c>
      <c r="D121">
        <v>28</v>
      </c>
      <c r="E121">
        <f>SIGN(C121-D121)</f>
        <v>1</v>
      </c>
      <c r="F121">
        <f>SIGN(D121-C121)</f>
        <v>-1</v>
      </c>
      <c r="G121">
        <f>COUNTIF($A$2:A121,A121)+COUNTIF($B$2:B121,A121)</f>
        <v>8</v>
      </c>
      <c r="H121">
        <f>COUNTIF($A$2:A121,B121)+COUNTIF($B$2:B121,B121)</f>
        <v>8</v>
      </c>
    </row>
    <row r="122" spans="1:8" x14ac:dyDescent="0.35">
      <c r="A122" t="s">
        <v>8</v>
      </c>
      <c r="B122" t="s">
        <v>17</v>
      </c>
      <c r="C122">
        <v>32</v>
      </c>
      <c r="D122">
        <v>20</v>
      </c>
      <c r="E122">
        <f>SIGN(C122-D122)</f>
        <v>1</v>
      </c>
      <c r="F122">
        <f>SIGN(D122-C122)</f>
        <v>-1</v>
      </c>
      <c r="G122">
        <f>COUNTIF($A$2:A122,A122)+COUNTIF($B$2:B122,A122)</f>
        <v>8</v>
      </c>
      <c r="H122">
        <f>COUNTIF($A$2:A122,B122)+COUNTIF($B$2:B122,B122)</f>
        <v>8</v>
      </c>
    </row>
    <row r="123" spans="1:8" x14ac:dyDescent="0.35">
      <c r="A123" t="s">
        <v>16</v>
      </c>
      <c r="B123" t="s">
        <v>22</v>
      </c>
      <c r="C123">
        <v>30</v>
      </c>
      <c r="D123">
        <v>20</v>
      </c>
      <c r="E123">
        <f>SIGN(C123-D123)</f>
        <v>1</v>
      </c>
      <c r="F123">
        <f>SIGN(D123-C123)</f>
        <v>-1</v>
      </c>
      <c r="G123">
        <f>COUNTIF($A$2:A123,A123)+COUNTIF($B$2:B123,A123)</f>
        <v>8</v>
      </c>
      <c r="H123">
        <f>COUNTIF($A$2:A123,B123)+COUNTIF($B$2:B123,B123)</f>
        <v>8</v>
      </c>
    </row>
    <row r="124" spans="1:8" x14ac:dyDescent="0.35">
      <c r="A124" t="s">
        <v>23</v>
      </c>
      <c r="B124" t="s">
        <v>19</v>
      </c>
      <c r="C124">
        <v>16</v>
      </c>
      <c r="D124">
        <v>20</v>
      </c>
      <c r="E124">
        <f>SIGN(C124-D124)</f>
        <v>-1</v>
      </c>
      <c r="F124">
        <f>SIGN(D124-C124)</f>
        <v>1</v>
      </c>
      <c r="G124">
        <f>COUNTIF($A$2:A124,A124)+COUNTIF($B$2:B124,A124)</f>
        <v>8</v>
      </c>
      <c r="H124">
        <f>COUNTIF($A$2:A124,B124)+COUNTIF($B$2:B124,B124)</f>
        <v>8</v>
      </c>
    </row>
    <row r="125" spans="1:8" x14ac:dyDescent="0.35">
      <c r="A125" t="s">
        <v>30</v>
      </c>
      <c r="B125" t="s">
        <v>14</v>
      </c>
      <c r="C125">
        <v>20</v>
      </c>
      <c r="D125">
        <v>17</v>
      </c>
      <c r="E125">
        <f>SIGN(C125-D125)</f>
        <v>1</v>
      </c>
      <c r="F125">
        <f>SIGN(D125-C125)</f>
        <v>-1</v>
      </c>
      <c r="G125">
        <f>COUNTIF($A$2:A125,A125)+COUNTIF($B$2:B125,A125)</f>
        <v>8</v>
      </c>
      <c r="H125">
        <f>COUNTIF($A$2:A125,B125)+COUNTIF($B$2:B125,B125)</f>
        <v>9</v>
      </c>
    </row>
    <row r="126" spans="1:8" x14ac:dyDescent="0.35">
      <c r="A126" t="s">
        <v>26</v>
      </c>
      <c r="B126" t="s">
        <v>12</v>
      </c>
      <c r="C126">
        <v>17</v>
      </c>
      <c r="D126">
        <v>7</v>
      </c>
      <c r="E126">
        <f>SIGN(C126-D126)</f>
        <v>1</v>
      </c>
      <c r="F126">
        <f>SIGN(D126-C126)</f>
        <v>-1</v>
      </c>
      <c r="G126">
        <f>COUNTIF($A$2:A126,A126)+COUNTIF($B$2:B126,A126)</f>
        <v>8</v>
      </c>
      <c r="H126">
        <f>COUNTIF($A$2:A126,B126)+COUNTIF($B$2:B126,B126)</f>
        <v>8</v>
      </c>
    </row>
    <row r="127" spans="1:8" x14ac:dyDescent="0.35">
      <c r="A127" t="s">
        <v>25</v>
      </c>
      <c r="B127" t="s">
        <v>20</v>
      </c>
      <c r="C127">
        <v>21</v>
      </c>
      <c r="D127">
        <v>41</v>
      </c>
      <c r="E127">
        <f>SIGN(C127-D127)</f>
        <v>-1</v>
      </c>
      <c r="F127">
        <f>SIGN(D127-C127)</f>
        <v>1</v>
      </c>
      <c r="G127">
        <f>COUNTIF($A$2:A127,A127)+COUNTIF($B$2:B127,A127)</f>
        <v>8</v>
      </c>
      <c r="H127">
        <f>COUNTIF($A$2:A127,B127)+COUNTIF($B$2:B127,B127)</f>
        <v>8</v>
      </c>
    </row>
    <row r="128" spans="1:8" x14ac:dyDescent="0.35">
      <c r="A128" t="s">
        <v>6</v>
      </c>
      <c r="B128" t="s">
        <v>11</v>
      </c>
      <c r="C128">
        <v>31</v>
      </c>
      <c r="D128">
        <v>17</v>
      </c>
      <c r="E128">
        <f>SIGN(C128-D128)</f>
        <v>1</v>
      </c>
      <c r="F128">
        <f>SIGN(D128-C128)</f>
        <v>-1</v>
      </c>
      <c r="G128">
        <f>COUNTIF($A$2:A128,A128)+COUNTIF($B$2:B128,A128)</f>
        <v>8</v>
      </c>
      <c r="H128">
        <f>COUNTIF($A$2:A128,B128)+COUNTIF($B$2:B128,B128)</f>
        <v>8</v>
      </c>
    </row>
    <row r="129" spans="1:8" x14ac:dyDescent="0.35">
      <c r="A129" t="s">
        <v>10</v>
      </c>
      <c r="B129" t="s">
        <v>33</v>
      </c>
      <c r="C129">
        <v>20</v>
      </c>
      <c r="D129">
        <v>21</v>
      </c>
      <c r="E129">
        <f>SIGN(C129-D129)</f>
        <v>-1</v>
      </c>
      <c r="F129">
        <f>SIGN(D129-C129)</f>
        <v>1</v>
      </c>
      <c r="G129">
        <f>COUNTIF($A$2:A129,A129)+COUNTIF($B$2:B129,A129)</f>
        <v>9</v>
      </c>
      <c r="H129">
        <f>COUNTIF($A$2:A129,B129)+COUNTIF($B$2:B129,B129)</f>
        <v>8</v>
      </c>
    </row>
    <row r="130" spans="1:8" x14ac:dyDescent="0.35">
      <c r="A130" t="s">
        <v>27</v>
      </c>
      <c r="B130" t="s">
        <v>4</v>
      </c>
      <c r="C130">
        <v>10</v>
      </c>
      <c r="D130">
        <v>28</v>
      </c>
      <c r="E130">
        <f>SIGN(C130-D130)</f>
        <v>-1</v>
      </c>
      <c r="F130">
        <f>SIGN(D130-C130)</f>
        <v>1</v>
      </c>
      <c r="G130">
        <f>COUNTIF($A$2:A130,A130)+COUNTIF($B$2:B130,A130)</f>
        <v>8</v>
      </c>
      <c r="H130">
        <f>COUNTIF($A$2:A130,B130)+COUNTIF($B$2:B130,B130)</f>
        <v>8</v>
      </c>
    </row>
    <row r="131" spans="1:8" x14ac:dyDescent="0.35">
      <c r="A131" t="s">
        <v>21</v>
      </c>
      <c r="B131" t="s">
        <v>25</v>
      </c>
      <c r="C131">
        <v>10</v>
      </c>
      <c r="D131">
        <v>6</v>
      </c>
      <c r="E131">
        <f>SIGN(C131-D131)</f>
        <v>1</v>
      </c>
      <c r="F131">
        <f>SIGN(D131-C131)</f>
        <v>-1</v>
      </c>
      <c r="G131">
        <f>COUNTIF($A$2:A131,A131)+COUNTIF($B$2:B131,A131)</f>
        <v>9</v>
      </c>
      <c r="H131">
        <f>COUNTIF($A$2:A131,B131)+COUNTIF($B$2:B131,B131)</f>
        <v>9</v>
      </c>
    </row>
    <row r="132" spans="1:8" x14ac:dyDescent="0.35">
      <c r="A132" t="s">
        <v>15</v>
      </c>
      <c r="B132" t="s">
        <v>31</v>
      </c>
      <c r="C132">
        <v>22</v>
      </c>
      <c r="D132">
        <v>24</v>
      </c>
      <c r="E132">
        <f>SIGN(C132-D132)</f>
        <v>-1</v>
      </c>
      <c r="F132">
        <f>SIGN(D132-C132)</f>
        <v>1</v>
      </c>
      <c r="G132">
        <f>COUNTIF($A$2:A132,A132)+COUNTIF($B$2:B132,A132)</f>
        <v>9</v>
      </c>
      <c r="H132">
        <f>COUNTIF($A$2:A132,B132)+COUNTIF($B$2:B132,B132)</f>
        <v>9</v>
      </c>
    </row>
    <row r="133" spans="1:8" x14ac:dyDescent="0.35">
      <c r="A133" t="s">
        <v>32</v>
      </c>
      <c r="B133" t="s">
        <v>13</v>
      </c>
      <c r="C133">
        <v>10</v>
      </c>
      <c r="D133">
        <v>16</v>
      </c>
      <c r="E133">
        <f>SIGN(C133-D133)</f>
        <v>-1</v>
      </c>
      <c r="F133">
        <f>SIGN(D133-C133)</f>
        <v>1</v>
      </c>
      <c r="G133">
        <f>COUNTIF($A$2:A133,A133)+COUNTIF($B$2:B133,A133)</f>
        <v>9</v>
      </c>
      <c r="H133">
        <f>COUNTIF($A$2:A133,B133)+COUNTIF($B$2:B133,B133)</f>
        <v>9</v>
      </c>
    </row>
    <row r="134" spans="1:8" x14ac:dyDescent="0.35">
      <c r="A134" t="s">
        <v>7</v>
      </c>
      <c r="B134" t="s">
        <v>18</v>
      </c>
      <c r="C134">
        <v>25</v>
      </c>
      <c r="D134">
        <v>23</v>
      </c>
      <c r="E134">
        <f>SIGN(C134-D134)</f>
        <v>1</v>
      </c>
      <c r="F134">
        <f>SIGN(D134-C134)</f>
        <v>-1</v>
      </c>
      <c r="G134">
        <f>COUNTIF($A$2:A134,A134)+COUNTIF($B$2:B134,A134)</f>
        <v>9</v>
      </c>
      <c r="H134">
        <f>COUNTIF($A$2:A134,B134)+COUNTIF($B$2:B134,B134)</f>
        <v>9</v>
      </c>
    </row>
    <row r="135" spans="1:8" x14ac:dyDescent="0.35">
      <c r="A135" t="s">
        <v>9</v>
      </c>
      <c r="B135" t="s">
        <v>16</v>
      </c>
      <c r="C135">
        <v>23</v>
      </c>
      <c r="D135">
        <v>28</v>
      </c>
      <c r="E135">
        <f>SIGN(C135-D135)</f>
        <v>-1</v>
      </c>
      <c r="F135">
        <f>SIGN(D135-C135)</f>
        <v>1</v>
      </c>
      <c r="G135">
        <f>COUNTIF($A$2:A135,A135)+COUNTIF($B$2:B135,A135)</f>
        <v>9</v>
      </c>
      <c r="H135">
        <f>COUNTIF($A$2:A135,B135)+COUNTIF($B$2:B135,B135)</f>
        <v>9</v>
      </c>
    </row>
    <row r="136" spans="1:8" x14ac:dyDescent="0.35">
      <c r="A136" t="s">
        <v>33</v>
      </c>
      <c r="B136" t="s">
        <v>23</v>
      </c>
      <c r="C136">
        <v>31</v>
      </c>
      <c r="D136">
        <v>23</v>
      </c>
      <c r="E136">
        <f>SIGN(C136-D136)</f>
        <v>1</v>
      </c>
      <c r="F136">
        <f>SIGN(D136-C136)</f>
        <v>-1</v>
      </c>
      <c r="G136">
        <f>COUNTIF($A$2:A136,A136)+COUNTIF($B$2:B136,A136)</f>
        <v>9</v>
      </c>
      <c r="H136">
        <f>COUNTIF($A$2:A136,B136)+COUNTIF($B$2:B136,B136)</f>
        <v>9</v>
      </c>
    </row>
    <row r="137" spans="1:8" x14ac:dyDescent="0.35">
      <c r="A137" t="s">
        <v>29</v>
      </c>
      <c r="B137" t="s">
        <v>17</v>
      </c>
      <c r="C137">
        <v>27</v>
      </c>
      <c r="D137">
        <v>10</v>
      </c>
      <c r="E137">
        <f>SIGN(C137-D137)</f>
        <v>1</v>
      </c>
      <c r="F137">
        <f>SIGN(D137-C137)</f>
        <v>-1</v>
      </c>
      <c r="G137">
        <f>COUNTIF($A$2:A137,A137)+COUNTIF($B$2:B137,A137)</f>
        <v>9</v>
      </c>
      <c r="H137">
        <f>COUNTIF($A$2:A137,B137)+COUNTIF($B$2:B137,B137)</f>
        <v>9</v>
      </c>
    </row>
    <row r="138" spans="1:8" x14ac:dyDescent="0.35">
      <c r="A138" t="s">
        <v>11</v>
      </c>
      <c r="B138" t="s">
        <v>27</v>
      </c>
      <c r="C138">
        <v>27</v>
      </c>
      <c r="D138">
        <v>17</v>
      </c>
      <c r="E138">
        <f>SIGN(C138-D138)</f>
        <v>1</v>
      </c>
      <c r="F138">
        <f>SIGN(D138-C138)</f>
        <v>-1</v>
      </c>
      <c r="G138">
        <f>COUNTIF($A$2:A138,A138)+COUNTIF($B$2:B138,A138)</f>
        <v>9</v>
      </c>
      <c r="H138">
        <f>COUNTIF($A$2:A138,B138)+COUNTIF($B$2:B138,B138)</f>
        <v>9</v>
      </c>
    </row>
    <row r="139" spans="1:8" x14ac:dyDescent="0.35">
      <c r="A139" t="s">
        <v>24</v>
      </c>
      <c r="B139" t="s">
        <v>19</v>
      </c>
      <c r="C139">
        <v>17</v>
      </c>
      <c r="D139">
        <v>7</v>
      </c>
      <c r="E139">
        <f>SIGN(C139-D139)</f>
        <v>1</v>
      </c>
      <c r="F139">
        <f>SIGN(D139-C139)</f>
        <v>-1</v>
      </c>
      <c r="G139">
        <f>COUNTIF($A$2:A139,A139)+COUNTIF($B$2:B139,A139)</f>
        <v>9</v>
      </c>
      <c r="H139">
        <f>COUNTIF($A$2:A139,B139)+COUNTIF($B$2:B139,B139)</f>
        <v>9</v>
      </c>
    </row>
    <row r="140" spans="1:8" x14ac:dyDescent="0.35">
      <c r="A140" t="s">
        <v>22</v>
      </c>
      <c r="B140" t="s">
        <v>6</v>
      </c>
      <c r="C140">
        <v>28</v>
      </c>
      <c r="D140">
        <v>19</v>
      </c>
      <c r="E140">
        <f>SIGN(C140-D140)</f>
        <v>1</v>
      </c>
      <c r="F140">
        <f>SIGN(D140-C140)</f>
        <v>-1</v>
      </c>
      <c r="G140">
        <f>COUNTIF($A$2:A140,A140)+COUNTIF($B$2:B140,A140)</f>
        <v>9</v>
      </c>
      <c r="H140">
        <f>COUNTIF($A$2:A140,B140)+COUNTIF($B$2:B140,B140)</f>
        <v>9</v>
      </c>
    </row>
    <row r="141" spans="1:8" x14ac:dyDescent="0.35">
      <c r="A141" t="s">
        <v>5</v>
      </c>
      <c r="B141" t="s">
        <v>35</v>
      </c>
      <c r="C141">
        <v>41</v>
      </c>
      <c r="D141">
        <v>17</v>
      </c>
      <c r="E141">
        <f>SIGN(C141-D141)</f>
        <v>1</v>
      </c>
      <c r="F141">
        <f>SIGN(D141-C141)</f>
        <v>-1</v>
      </c>
      <c r="G141">
        <f>COUNTIF($A$2:A141,A141)+COUNTIF($B$2:B141,A141)</f>
        <v>9</v>
      </c>
      <c r="H141">
        <f>COUNTIF($A$2:A141,B141)+COUNTIF($B$2:B141,B141)</f>
        <v>9</v>
      </c>
    </row>
    <row r="142" spans="1:8" x14ac:dyDescent="0.35">
      <c r="A142" t="s">
        <v>4</v>
      </c>
      <c r="B142" t="s">
        <v>26</v>
      </c>
      <c r="C142">
        <v>12</v>
      </c>
      <c r="D142">
        <v>18</v>
      </c>
      <c r="E142">
        <f>SIGN(C142-D142)</f>
        <v>-1</v>
      </c>
      <c r="F142">
        <f>SIGN(D142-C142)</f>
        <v>1</v>
      </c>
      <c r="G142">
        <f>COUNTIF($A$2:A142,A142)+COUNTIF($B$2:B142,A142)</f>
        <v>9</v>
      </c>
      <c r="H142">
        <f>COUNTIF($A$2:A142,B142)+COUNTIF($B$2:B142,B142)</f>
        <v>9</v>
      </c>
    </row>
    <row r="143" spans="1:8" x14ac:dyDescent="0.35">
      <c r="A143" t="s">
        <v>30</v>
      </c>
      <c r="B143" t="s">
        <v>34</v>
      </c>
      <c r="C143">
        <v>35</v>
      </c>
      <c r="D143">
        <v>34</v>
      </c>
      <c r="E143">
        <f>SIGN(C143-D143)</f>
        <v>1</v>
      </c>
      <c r="F143">
        <f>SIGN(D143-C143)</f>
        <v>-1</v>
      </c>
      <c r="G143">
        <f>COUNTIF($A$2:A143,A143)+COUNTIF($B$2:B143,A143)</f>
        <v>9</v>
      </c>
      <c r="H143">
        <f>COUNTIF($A$2:A143,B143)+COUNTIF($B$2:B143,B143)</f>
        <v>9</v>
      </c>
    </row>
    <row r="144" spans="1:8" x14ac:dyDescent="0.35">
      <c r="A144" t="s">
        <v>20</v>
      </c>
      <c r="B144" t="s">
        <v>8</v>
      </c>
      <c r="C144">
        <v>31</v>
      </c>
      <c r="D144">
        <v>20</v>
      </c>
      <c r="E144">
        <f>SIGN(C144-D144)</f>
        <v>1</v>
      </c>
      <c r="F144">
        <f>SIGN(D144-C144)</f>
        <v>-1</v>
      </c>
      <c r="G144">
        <f>COUNTIF($A$2:A144,A144)+COUNTIF($B$2:B144,A144)</f>
        <v>9</v>
      </c>
      <c r="H144">
        <f>COUNTIF($A$2:A144,B144)+COUNTIF($B$2:B144,B144)</f>
        <v>9</v>
      </c>
    </row>
    <row r="145" spans="1:8" x14ac:dyDescent="0.35">
      <c r="A145" t="s">
        <v>28</v>
      </c>
      <c r="B145" t="s">
        <v>12</v>
      </c>
      <c r="C145">
        <v>0</v>
      </c>
      <c r="D145">
        <v>16</v>
      </c>
      <c r="E145">
        <f>SIGN(C145-D145)</f>
        <v>-1</v>
      </c>
      <c r="F145">
        <f>SIGN(D145-C145)</f>
        <v>1</v>
      </c>
      <c r="G145">
        <f>COUNTIF($A$2:A145,A145)+COUNTIF($B$2:B145,A145)</f>
        <v>9</v>
      </c>
      <c r="H145">
        <f>COUNTIF($A$2:A145,B145)+COUNTIF($B$2:B145,B145)</f>
        <v>9</v>
      </c>
    </row>
    <row r="146" spans="1:8" x14ac:dyDescent="0.35">
      <c r="A146" t="s">
        <v>22</v>
      </c>
      <c r="B146" t="s">
        <v>7</v>
      </c>
      <c r="C146">
        <v>17</v>
      </c>
      <c r="D146">
        <v>24</v>
      </c>
      <c r="E146">
        <f>SIGN(C146-D146)</f>
        <v>-1</v>
      </c>
      <c r="F146">
        <f>SIGN(D146-C146)</f>
        <v>1</v>
      </c>
      <c r="G146">
        <f>COUNTIF($A$2:A146,A146)+COUNTIF($B$2:B146,A146)</f>
        <v>10</v>
      </c>
      <c r="H146">
        <f>COUNTIF($A$2:A146,B146)+COUNTIF($B$2:B146,B146)</f>
        <v>10</v>
      </c>
    </row>
    <row r="147" spans="1:8" x14ac:dyDescent="0.35">
      <c r="A147" t="s">
        <v>27</v>
      </c>
      <c r="B147" t="s">
        <v>33</v>
      </c>
      <c r="C147">
        <v>3</v>
      </c>
      <c r="D147">
        <v>32</v>
      </c>
      <c r="E147">
        <f>SIGN(C147-D147)</f>
        <v>-1</v>
      </c>
      <c r="F147">
        <f>SIGN(D147-C147)</f>
        <v>1</v>
      </c>
      <c r="G147">
        <f>COUNTIF($A$2:A147,A147)+COUNTIF($B$2:B147,A147)</f>
        <v>10</v>
      </c>
      <c r="H147">
        <f>COUNTIF($A$2:A147,B147)+COUNTIF($B$2:B147,B147)</f>
        <v>10</v>
      </c>
    </row>
    <row r="148" spans="1:8" x14ac:dyDescent="0.35">
      <c r="A148" t="s">
        <v>24</v>
      </c>
      <c r="B148" t="s">
        <v>21</v>
      </c>
      <c r="C148">
        <v>30</v>
      </c>
      <c r="D148">
        <v>24</v>
      </c>
      <c r="E148">
        <f>SIGN(C148-D148)</f>
        <v>1</v>
      </c>
      <c r="F148">
        <f>SIGN(D148-C148)</f>
        <v>-1</v>
      </c>
      <c r="G148">
        <f>COUNTIF($A$2:A148,A148)+COUNTIF($B$2:B148,A148)</f>
        <v>10</v>
      </c>
      <c r="H148">
        <f>COUNTIF($A$2:A148,B148)+COUNTIF($B$2:B148,B148)</f>
        <v>10</v>
      </c>
    </row>
    <row r="149" spans="1:8" x14ac:dyDescent="0.35">
      <c r="A149" t="s">
        <v>13</v>
      </c>
      <c r="B149" t="s">
        <v>4</v>
      </c>
      <c r="C149">
        <v>27</v>
      </c>
      <c r="D149">
        <v>24</v>
      </c>
      <c r="E149">
        <f>SIGN(C149-D149)</f>
        <v>1</v>
      </c>
      <c r="F149">
        <f>SIGN(D149-C149)</f>
        <v>-1</v>
      </c>
      <c r="G149">
        <f>COUNTIF($A$2:A149,A149)+COUNTIF($B$2:B149,A149)</f>
        <v>10</v>
      </c>
      <c r="H149">
        <f>COUNTIF($A$2:A149,B149)+COUNTIF($B$2:B149,B149)</f>
        <v>10</v>
      </c>
    </row>
    <row r="150" spans="1:8" x14ac:dyDescent="0.35">
      <c r="A150" t="s">
        <v>29</v>
      </c>
      <c r="B150" t="s">
        <v>8</v>
      </c>
      <c r="C150">
        <v>35</v>
      </c>
      <c r="D150">
        <v>9</v>
      </c>
      <c r="E150">
        <f>SIGN(C150-D150)</f>
        <v>1</v>
      </c>
      <c r="F150">
        <f>SIGN(D150-C150)</f>
        <v>-1</v>
      </c>
      <c r="G150">
        <f>COUNTIF($A$2:A150,A150)+COUNTIF($B$2:B150,A150)</f>
        <v>10</v>
      </c>
      <c r="H150">
        <f>COUNTIF($A$2:A150,B150)+COUNTIF($B$2:B150,B150)</f>
        <v>10</v>
      </c>
    </row>
    <row r="151" spans="1:8" x14ac:dyDescent="0.35">
      <c r="A151" t="s">
        <v>18</v>
      </c>
      <c r="B151" t="s">
        <v>16</v>
      </c>
      <c r="C151">
        <v>7</v>
      </c>
      <c r="D151">
        <v>38</v>
      </c>
      <c r="E151">
        <f>SIGN(C151-D151)</f>
        <v>-1</v>
      </c>
      <c r="F151">
        <f>SIGN(D151-C151)</f>
        <v>1</v>
      </c>
      <c r="G151">
        <f>COUNTIF($A$2:A151,A151)+COUNTIF($B$2:B151,A151)</f>
        <v>10</v>
      </c>
      <c r="H151">
        <f>COUNTIF($A$2:A151,B151)+COUNTIF($B$2:B151,B151)</f>
        <v>10</v>
      </c>
    </row>
    <row r="152" spans="1:8" x14ac:dyDescent="0.35">
      <c r="A152" t="s">
        <v>34</v>
      </c>
      <c r="B152" t="s">
        <v>15</v>
      </c>
      <c r="C152">
        <v>31</v>
      </c>
      <c r="D152">
        <v>14</v>
      </c>
      <c r="E152">
        <f>SIGN(C152-D152)</f>
        <v>1</v>
      </c>
      <c r="F152">
        <f>SIGN(D152-C152)</f>
        <v>-1</v>
      </c>
      <c r="G152">
        <f>COUNTIF($A$2:A152,A152)+COUNTIF($B$2:B152,A152)</f>
        <v>10</v>
      </c>
      <c r="H152">
        <f>COUNTIF($A$2:A152,B152)+COUNTIF($B$2:B152,B152)</f>
        <v>10</v>
      </c>
    </row>
    <row r="153" spans="1:8" x14ac:dyDescent="0.35">
      <c r="A153" t="s">
        <v>19</v>
      </c>
      <c r="B153" t="s">
        <v>11</v>
      </c>
      <c r="C153">
        <v>7</v>
      </c>
      <c r="D153">
        <v>6</v>
      </c>
      <c r="E153">
        <f>SIGN(C153-D153)</f>
        <v>1</v>
      </c>
      <c r="F153">
        <f>SIGN(D153-C153)</f>
        <v>-1</v>
      </c>
      <c r="G153">
        <f>COUNTIF($A$2:A153,A153)+COUNTIF($B$2:B153,A153)</f>
        <v>10</v>
      </c>
      <c r="H153">
        <f>COUNTIF($A$2:A153,B153)+COUNTIF($B$2:B153,B153)</f>
        <v>10</v>
      </c>
    </row>
    <row r="154" spans="1:8" x14ac:dyDescent="0.35">
      <c r="A154" t="s">
        <v>9</v>
      </c>
      <c r="B154" t="s">
        <v>20</v>
      </c>
      <c r="C154">
        <v>13</v>
      </c>
      <c r="D154">
        <v>21</v>
      </c>
      <c r="E154">
        <f>SIGN(C154-D154)</f>
        <v>-1</v>
      </c>
      <c r="F154">
        <f>SIGN(D154-C154)</f>
        <v>1</v>
      </c>
      <c r="G154">
        <f>COUNTIF($A$2:A154,A154)+COUNTIF($B$2:B154,A154)</f>
        <v>10</v>
      </c>
      <c r="H154">
        <f>COUNTIF($A$2:A154,B154)+COUNTIF($B$2:B154,B154)</f>
        <v>10</v>
      </c>
    </row>
    <row r="155" spans="1:8" x14ac:dyDescent="0.35">
      <c r="A155" t="s">
        <v>12</v>
      </c>
      <c r="B155" t="s">
        <v>30</v>
      </c>
      <c r="C155">
        <v>15</v>
      </c>
      <c r="D155">
        <v>17</v>
      </c>
      <c r="E155">
        <f>SIGN(C155-D155)</f>
        <v>-1</v>
      </c>
      <c r="F155">
        <f>SIGN(D155-C155)</f>
        <v>1</v>
      </c>
      <c r="G155">
        <f>COUNTIF($A$2:A155,A155)+COUNTIF($B$2:B155,A155)</f>
        <v>10</v>
      </c>
      <c r="H155">
        <f>COUNTIF($A$2:A155,B155)+COUNTIF($B$2:B155,B155)</f>
        <v>10</v>
      </c>
    </row>
    <row r="156" spans="1:8" x14ac:dyDescent="0.35">
      <c r="A156" t="s">
        <v>17</v>
      </c>
      <c r="B156" t="s">
        <v>28</v>
      </c>
      <c r="C156">
        <v>38</v>
      </c>
      <c r="D156">
        <v>37</v>
      </c>
      <c r="E156">
        <f>SIGN(C156-D156)</f>
        <v>1</v>
      </c>
      <c r="F156">
        <f>SIGN(D156-C156)</f>
        <v>-1</v>
      </c>
      <c r="G156">
        <f>COUNTIF($A$2:A156,A156)+COUNTIF($B$2:B156,A156)</f>
        <v>10</v>
      </c>
      <c r="H156">
        <f>COUNTIF($A$2:A156,B156)+COUNTIF($B$2:B156,B156)</f>
        <v>10</v>
      </c>
    </row>
    <row r="157" spans="1:8" x14ac:dyDescent="0.35">
      <c r="A157" t="s">
        <v>32</v>
      </c>
      <c r="B157" t="s">
        <v>26</v>
      </c>
      <c r="C157">
        <v>20</v>
      </c>
      <c r="D157">
        <v>17</v>
      </c>
      <c r="E157">
        <f>SIGN(C157-D157)</f>
        <v>1</v>
      </c>
      <c r="F157">
        <f>SIGN(D157-C157)</f>
        <v>-1</v>
      </c>
      <c r="G157">
        <f>COUNTIF($A$2:A157,A157)+COUNTIF($B$2:B157,A157)</f>
        <v>10</v>
      </c>
      <c r="H157">
        <f>COUNTIF($A$2:A157,B157)+COUNTIF($B$2:B157,B157)</f>
        <v>10</v>
      </c>
    </row>
    <row r="158" spans="1:8" x14ac:dyDescent="0.35">
      <c r="A158" t="s">
        <v>25</v>
      </c>
      <c r="B158" t="s">
        <v>23</v>
      </c>
      <c r="C158">
        <v>20</v>
      </c>
      <c r="D158">
        <v>24</v>
      </c>
      <c r="E158">
        <f>SIGN(C158-D158)</f>
        <v>-1</v>
      </c>
      <c r="F158">
        <f>SIGN(D158-C158)</f>
        <v>1</v>
      </c>
      <c r="G158">
        <f>COUNTIF($A$2:A158,A158)+COUNTIF($B$2:B158,A158)</f>
        <v>10</v>
      </c>
      <c r="H158">
        <f>COUNTIF($A$2:A158,B158)+COUNTIF($B$2:B158,B158)</f>
        <v>10</v>
      </c>
    </row>
    <row r="159" spans="1:8" x14ac:dyDescent="0.35">
      <c r="A159" t="s">
        <v>31</v>
      </c>
      <c r="B159" t="s">
        <v>35</v>
      </c>
      <c r="C159">
        <v>18</v>
      </c>
      <c r="D159">
        <v>15</v>
      </c>
      <c r="E159">
        <f>SIGN(C159-D159)</f>
        <v>1</v>
      </c>
      <c r="F159">
        <f>SIGN(D159-C159)</f>
        <v>-1</v>
      </c>
      <c r="G159">
        <f>COUNTIF($A$2:A159,A159)+COUNTIF($B$2:B159,A159)</f>
        <v>10</v>
      </c>
      <c r="H159">
        <f>COUNTIF($A$2:A159,B159)+COUNTIF($B$2:B159,B159)</f>
        <v>10</v>
      </c>
    </row>
    <row r="160" spans="1:8" x14ac:dyDescent="0.35">
      <c r="A160" t="s">
        <v>10</v>
      </c>
      <c r="B160" t="s">
        <v>6</v>
      </c>
      <c r="C160">
        <v>34</v>
      </c>
      <c r="D160">
        <v>31</v>
      </c>
      <c r="E160">
        <f>SIGN(C160-D160)</f>
        <v>1</v>
      </c>
      <c r="F160">
        <f>SIGN(D160-C160)</f>
        <v>-1</v>
      </c>
      <c r="G160">
        <f>COUNTIF($A$2:A160,A160)+COUNTIF($B$2:B160,A160)</f>
        <v>10</v>
      </c>
      <c r="H160">
        <f>COUNTIF($A$2:A160,B160)+COUNTIF($B$2:B160,B160)</f>
        <v>10</v>
      </c>
    </row>
    <row r="161" spans="1:8" x14ac:dyDescent="0.35">
      <c r="A161" t="s">
        <v>14</v>
      </c>
      <c r="B161" t="s">
        <v>5</v>
      </c>
      <c r="C161">
        <v>17</v>
      </c>
      <c r="D161">
        <v>20</v>
      </c>
      <c r="E161">
        <f>SIGN(C161-D161)</f>
        <v>-1</v>
      </c>
      <c r="F161">
        <f>SIGN(D161-C161)</f>
        <v>1</v>
      </c>
      <c r="G161">
        <f>COUNTIF($A$2:A161,A161)+COUNTIF($B$2:B161,A161)</f>
        <v>10</v>
      </c>
      <c r="H161">
        <f>COUNTIF($A$2:A161,B161)+COUNTIF($B$2:B161,B161)</f>
        <v>10</v>
      </c>
    </row>
    <row r="162" spans="1:8" x14ac:dyDescent="0.35">
      <c r="A162" t="s">
        <v>17</v>
      </c>
      <c r="B162" t="s">
        <v>24</v>
      </c>
      <c r="C162">
        <v>12</v>
      </c>
      <c r="D162">
        <v>34</v>
      </c>
      <c r="E162">
        <f>SIGN(C162-D162)</f>
        <v>-1</v>
      </c>
      <c r="F162">
        <f>SIGN(D162-C162)</f>
        <v>1</v>
      </c>
      <c r="G162">
        <f>COUNTIF($A$2:A162,A162)+COUNTIF($B$2:B162,A162)</f>
        <v>11</v>
      </c>
      <c r="H162">
        <f>COUNTIF($A$2:A162,B162)+COUNTIF($B$2:B162,B162)</f>
        <v>11</v>
      </c>
    </row>
    <row r="163" spans="1:8" x14ac:dyDescent="0.35">
      <c r="A163" t="s">
        <v>27</v>
      </c>
      <c r="B163" t="s">
        <v>10</v>
      </c>
      <c r="C163">
        <v>26</v>
      </c>
      <c r="D163">
        <v>6</v>
      </c>
      <c r="E163">
        <f>SIGN(C163-D163)</f>
        <v>1</v>
      </c>
      <c r="F163">
        <f>SIGN(D163-C163)</f>
        <v>-1</v>
      </c>
      <c r="G163">
        <f>COUNTIF($A$2:A163,A163)+COUNTIF($B$2:B163,A163)</f>
        <v>11</v>
      </c>
      <c r="H163">
        <f>COUNTIF($A$2:A163,B163)+COUNTIF($B$2:B163,B163)</f>
        <v>11</v>
      </c>
    </row>
    <row r="164" spans="1:8" x14ac:dyDescent="0.35">
      <c r="A164" t="s">
        <v>19</v>
      </c>
      <c r="B164" t="s">
        <v>32</v>
      </c>
      <c r="C164">
        <v>24</v>
      </c>
      <c r="D164">
        <v>7</v>
      </c>
      <c r="E164">
        <f>SIGN(C164-D164)</f>
        <v>1</v>
      </c>
      <c r="F164">
        <f>SIGN(D164-C164)</f>
        <v>-1</v>
      </c>
      <c r="G164">
        <f>COUNTIF($A$2:A164,A164)+COUNTIF($B$2:B164,A164)</f>
        <v>11</v>
      </c>
      <c r="H164">
        <f>COUNTIF($A$2:A164,B164)+COUNTIF($B$2:B164,B164)</f>
        <v>11</v>
      </c>
    </row>
    <row r="165" spans="1:8" x14ac:dyDescent="0.35">
      <c r="A165" t="s">
        <v>12</v>
      </c>
      <c r="B165" t="s">
        <v>4</v>
      </c>
      <c r="C165">
        <v>20</v>
      </c>
      <c r="D165">
        <v>17</v>
      </c>
      <c r="E165">
        <f>SIGN(C165-D165)</f>
        <v>1</v>
      </c>
      <c r="F165">
        <f>SIGN(D165-C165)</f>
        <v>-1</v>
      </c>
      <c r="G165">
        <f>COUNTIF($A$2:A165,A165)+COUNTIF($B$2:B165,A165)</f>
        <v>11</v>
      </c>
      <c r="H165">
        <f>COUNTIF($A$2:A165,B165)+COUNTIF($B$2:B165,B165)</f>
        <v>11</v>
      </c>
    </row>
    <row r="166" spans="1:8" x14ac:dyDescent="0.35">
      <c r="A166" t="s">
        <v>23</v>
      </c>
      <c r="B166" t="s">
        <v>11</v>
      </c>
      <c r="C166">
        <v>27</v>
      </c>
      <c r="D166">
        <v>24</v>
      </c>
      <c r="E166">
        <f>SIGN(C166-D166)</f>
        <v>1</v>
      </c>
      <c r="F166">
        <f>SIGN(D166-C166)</f>
        <v>-1</v>
      </c>
      <c r="G166">
        <f>COUNTIF($A$2:A166,A166)+COUNTIF($B$2:B166,A166)</f>
        <v>11</v>
      </c>
      <c r="H166">
        <f>COUNTIF($A$2:A166,B166)+COUNTIF($B$2:B166,B166)</f>
        <v>11</v>
      </c>
    </row>
    <row r="167" spans="1:8" x14ac:dyDescent="0.35">
      <c r="A167" t="s">
        <v>33</v>
      </c>
      <c r="B167" t="s">
        <v>13</v>
      </c>
      <c r="C167">
        <v>43</v>
      </c>
      <c r="D167">
        <v>14</v>
      </c>
      <c r="E167">
        <f>SIGN(C167-D167)</f>
        <v>1</v>
      </c>
      <c r="F167">
        <f>SIGN(D167-C167)</f>
        <v>-1</v>
      </c>
      <c r="G167">
        <f>COUNTIF($A$2:A167,A167)+COUNTIF($B$2:B167,A167)</f>
        <v>11</v>
      </c>
      <c r="H167">
        <f>COUNTIF($A$2:A167,B167)+COUNTIF($B$2:B167,B167)</f>
        <v>11</v>
      </c>
    </row>
    <row r="168" spans="1:8" x14ac:dyDescent="0.35">
      <c r="A168" t="s">
        <v>21</v>
      </c>
      <c r="B168" t="s">
        <v>31</v>
      </c>
      <c r="C168">
        <v>20</v>
      </c>
      <c r="D168">
        <v>3</v>
      </c>
      <c r="E168">
        <f>SIGN(C168-D168)</f>
        <v>1</v>
      </c>
      <c r="F168">
        <f>SIGN(D168-C168)</f>
        <v>-1</v>
      </c>
      <c r="G168">
        <f>COUNTIF($A$2:A168,A168)+COUNTIF($B$2:B168,A168)</f>
        <v>11</v>
      </c>
      <c r="H168">
        <f>COUNTIF($A$2:A168,B168)+COUNTIF($B$2:B168,B168)</f>
        <v>11</v>
      </c>
    </row>
    <row r="169" spans="1:8" x14ac:dyDescent="0.35">
      <c r="A169" t="s">
        <v>9</v>
      </c>
      <c r="B169" t="s">
        <v>8</v>
      </c>
      <c r="C169">
        <v>17</v>
      </c>
      <c r="D169">
        <v>27</v>
      </c>
      <c r="E169">
        <f>SIGN(C169-D169)</f>
        <v>-1</v>
      </c>
      <c r="F169">
        <f>SIGN(D169-C169)</f>
        <v>1</v>
      </c>
      <c r="G169">
        <f>COUNTIF($A$2:A169,A169)+COUNTIF($B$2:B169,A169)</f>
        <v>11</v>
      </c>
      <c r="H169">
        <f>COUNTIF($A$2:A169,B169)+COUNTIF($B$2:B169,B169)</f>
        <v>11</v>
      </c>
    </row>
    <row r="170" spans="1:8" x14ac:dyDescent="0.35">
      <c r="A170" t="s">
        <v>35</v>
      </c>
      <c r="B170" t="s">
        <v>7</v>
      </c>
      <c r="C170">
        <v>31</v>
      </c>
      <c r="D170">
        <v>14</v>
      </c>
      <c r="E170">
        <f>SIGN(C170-D170)</f>
        <v>1</v>
      </c>
      <c r="F170">
        <f>SIGN(D170-C170)</f>
        <v>-1</v>
      </c>
      <c r="G170">
        <f>COUNTIF($A$2:A170,A170)+COUNTIF($B$2:B170,A170)</f>
        <v>11</v>
      </c>
      <c r="H170">
        <f>COUNTIF($A$2:A170,B170)+COUNTIF($B$2:B170,B170)</f>
        <v>11</v>
      </c>
    </row>
    <row r="171" spans="1:8" x14ac:dyDescent="0.35">
      <c r="A171" t="s">
        <v>5</v>
      </c>
      <c r="B171" t="s">
        <v>20</v>
      </c>
      <c r="C171">
        <v>20</v>
      </c>
      <c r="D171">
        <v>17</v>
      </c>
      <c r="E171">
        <f>SIGN(C171-D171)</f>
        <v>1</v>
      </c>
      <c r="F171">
        <f>SIGN(D171-C171)</f>
        <v>-1</v>
      </c>
      <c r="G171">
        <f>COUNTIF($A$2:A171,A171)+COUNTIF($B$2:B171,A171)</f>
        <v>11</v>
      </c>
      <c r="H171">
        <f>COUNTIF($A$2:A171,B171)+COUNTIF($B$2:B171,B171)</f>
        <v>11</v>
      </c>
    </row>
    <row r="172" spans="1:8" x14ac:dyDescent="0.35">
      <c r="A172" t="s">
        <v>6</v>
      </c>
      <c r="B172" t="s">
        <v>18</v>
      </c>
      <c r="C172">
        <v>20</v>
      </c>
      <c r="D172">
        <v>17</v>
      </c>
      <c r="E172">
        <f>SIGN(C172-D172)</f>
        <v>1</v>
      </c>
      <c r="F172">
        <f>SIGN(D172-C172)</f>
        <v>-1</v>
      </c>
      <c r="G172">
        <f>COUNTIF($A$2:A172,A172)+COUNTIF($B$2:B172,A172)</f>
        <v>11</v>
      </c>
      <c r="H172">
        <f>COUNTIF($A$2:A172,B172)+COUNTIF($B$2:B172,B172)</f>
        <v>11</v>
      </c>
    </row>
    <row r="173" spans="1:8" x14ac:dyDescent="0.35">
      <c r="A173" t="s">
        <v>15</v>
      </c>
      <c r="B173" t="s">
        <v>22</v>
      </c>
      <c r="C173">
        <v>17</v>
      </c>
      <c r="D173">
        <v>6</v>
      </c>
      <c r="E173">
        <f>SIGN(C173-D173)</f>
        <v>1</v>
      </c>
      <c r="F173">
        <f>SIGN(D173-C173)</f>
        <v>-1</v>
      </c>
      <c r="G173">
        <f>COUNTIF($A$2:A173,A173)+COUNTIF($B$2:B173,A173)</f>
        <v>11</v>
      </c>
      <c r="H173">
        <f>COUNTIF($A$2:A173,B173)+COUNTIF($B$2:B173,B173)</f>
        <v>11</v>
      </c>
    </row>
    <row r="174" spans="1:8" x14ac:dyDescent="0.35">
      <c r="A174" t="s">
        <v>29</v>
      </c>
      <c r="B174" t="s">
        <v>25</v>
      </c>
      <c r="C174">
        <v>36</v>
      </c>
      <c r="D174">
        <v>10</v>
      </c>
      <c r="E174">
        <f>SIGN(C174-D174)</f>
        <v>1</v>
      </c>
      <c r="F174">
        <f>SIGN(D174-C174)</f>
        <v>-1</v>
      </c>
      <c r="G174">
        <f>COUNTIF($A$2:A174,A174)+COUNTIF($B$2:B174,A174)</f>
        <v>11</v>
      </c>
      <c r="H174">
        <f>COUNTIF($A$2:A174,B174)+COUNTIF($B$2:B174,B174)</f>
        <v>11</v>
      </c>
    </row>
    <row r="175" spans="1:8" x14ac:dyDescent="0.35">
      <c r="A175" t="s">
        <v>26</v>
      </c>
      <c r="B175" t="s">
        <v>28</v>
      </c>
      <c r="C175">
        <v>16</v>
      </c>
      <c r="D175">
        <v>7</v>
      </c>
      <c r="E175">
        <f>SIGN(C175-D175)</f>
        <v>1</v>
      </c>
      <c r="F175">
        <f>SIGN(D175-C175)</f>
        <v>-1</v>
      </c>
      <c r="G175">
        <f>COUNTIF($A$2:A175,A175)+COUNTIF($B$2:B175,A175)</f>
        <v>11</v>
      </c>
      <c r="H175">
        <f>COUNTIF($A$2:A175,B175)+COUNTIF($B$2:B175,B175)</f>
        <v>11</v>
      </c>
    </row>
    <row r="176" spans="1:8" x14ac:dyDescent="0.35">
      <c r="A176" t="s">
        <v>14</v>
      </c>
      <c r="B176" t="s">
        <v>30</v>
      </c>
      <c r="C176">
        <v>27</v>
      </c>
      <c r="D176">
        <v>35</v>
      </c>
      <c r="E176">
        <f>SIGN(C176-D176)</f>
        <v>-1</v>
      </c>
      <c r="F176">
        <f>SIGN(D176-C176)</f>
        <v>1</v>
      </c>
      <c r="G176">
        <f>COUNTIF($A$2:A176,A176)+COUNTIF($B$2:B176,A176)</f>
        <v>11</v>
      </c>
      <c r="H176">
        <f>COUNTIF($A$2:A176,B176)+COUNTIF($B$2:B176,B176)</f>
        <v>11</v>
      </c>
    </row>
    <row r="177" spans="1:8" x14ac:dyDescent="0.35">
      <c r="A177" t="s">
        <v>16</v>
      </c>
      <c r="B177" t="s">
        <v>34</v>
      </c>
      <c r="C177">
        <v>38</v>
      </c>
      <c r="D177">
        <v>17</v>
      </c>
      <c r="E177">
        <f>SIGN(C177-D177)</f>
        <v>1</v>
      </c>
      <c r="F177">
        <f>SIGN(D177-C177)</f>
        <v>-1</v>
      </c>
      <c r="G177">
        <f>COUNTIF($A$2:A177,A177)+COUNTIF($B$2:B177,A177)</f>
        <v>11</v>
      </c>
      <c r="H177">
        <f>COUNTIF($A$2:A177,B177)+COUNTIF($B$2:B177,B177)</f>
        <v>11</v>
      </c>
    </row>
    <row r="178" spans="1:8" x14ac:dyDescent="0.35">
      <c r="A178" t="s">
        <v>35</v>
      </c>
      <c r="B178" t="s">
        <v>15</v>
      </c>
      <c r="C178">
        <v>13</v>
      </c>
      <c r="D178">
        <v>19</v>
      </c>
      <c r="E178">
        <f>SIGN(C178-D178)</f>
        <v>-1</v>
      </c>
      <c r="F178">
        <f>SIGN(D178-C178)</f>
        <v>1</v>
      </c>
      <c r="G178">
        <f>COUNTIF($A$2:A178,A178)+COUNTIF($B$2:B178,A178)</f>
        <v>12</v>
      </c>
      <c r="H178">
        <f>COUNTIF($A$2:A178,B178)+COUNTIF($B$2:B178,B178)</f>
        <v>12</v>
      </c>
    </row>
    <row r="179" spans="1:8" x14ac:dyDescent="0.35">
      <c r="A179" t="s">
        <v>13</v>
      </c>
      <c r="B179" t="s">
        <v>27</v>
      </c>
      <c r="C179">
        <v>13</v>
      </c>
      <c r="D179">
        <v>44</v>
      </c>
      <c r="E179">
        <f>SIGN(C179-D179)</f>
        <v>-1</v>
      </c>
      <c r="F179">
        <f>SIGN(D179-C179)</f>
        <v>1</v>
      </c>
      <c r="G179">
        <f>COUNTIF($A$2:A179,A179)+COUNTIF($B$2:B179,A179)</f>
        <v>12</v>
      </c>
      <c r="H179">
        <f>COUNTIF($A$2:A179,B179)+COUNTIF($B$2:B179,B179)</f>
        <v>12</v>
      </c>
    </row>
    <row r="180" spans="1:8" x14ac:dyDescent="0.35">
      <c r="A180" t="s">
        <v>31</v>
      </c>
      <c r="B180" t="s">
        <v>14</v>
      </c>
      <c r="C180">
        <v>23</v>
      </c>
      <c r="D180">
        <v>18</v>
      </c>
      <c r="E180">
        <f>SIGN(C180-D180)</f>
        <v>1</v>
      </c>
      <c r="F180">
        <f>SIGN(D180-C180)</f>
        <v>-1</v>
      </c>
      <c r="G180">
        <f>COUNTIF($A$2:A180,A180)+COUNTIF($B$2:B180,A180)</f>
        <v>12</v>
      </c>
      <c r="H180">
        <f>COUNTIF($A$2:A180,B180)+COUNTIF($B$2:B180,B180)</f>
        <v>12</v>
      </c>
    </row>
    <row r="181" spans="1:8" x14ac:dyDescent="0.35">
      <c r="A181" t="s">
        <v>7</v>
      </c>
      <c r="B181" t="s">
        <v>34</v>
      </c>
      <c r="C181">
        <v>22</v>
      </c>
      <c r="D181">
        <v>21</v>
      </c>
      <c r="E181">
        <f>SIGN(C181-D181)</f>
        <v>1</v>
      </c>
      <c r="F181">
        <f>SIGN(D181-C181)</f>
        <v>-1</v>
      </c>
      <c r="G181">
        <f>COUNTIF($A$2:A181,A181)+COUNTIF($B$2:B181,A181)</f>
        <v>12</v>
      </c>
      <c r="H181">
        <f>COUNTIF($A$2:A181,B181)+COUNTIF($B$2:B181,B181)</f>
        <v>12</v>
      </c>
    </row>
    <row r="182" spans="1:8" x14ac:dyDescent="0.35">
      <c r="A182" t="s">
        <v>11</v>
      </c>
      <c r="B182" t="s">
        <v>16</v>
      </c>
      <c r="C182">
        <v>30</v>
      </c>
      <c r="D182">
        <v>33</v>
      </c>
      <c r="E182">
        <f>SIGN(C182-D182)</f>
        <v>-1</v>
      </c>
      <c r="F182">
        <f>SIGN(D182-C182)</f>
        <v>1</v>
      </c>
      <c r="G182">
        <f>COUNTIF($A$2:A182,A182)+COUNTIF($B$2:B182,A182)</f>
        <v>12</v>
      </c>
      <c r="H182">
        <f>COUNTIF($A$2:A182,B182)+COUNTIF($B$2:B182,B182)</f>
        <v>12</v>
      </c>
    </row>
    <row r="183" spans="1:8" x14ac:dyDescent="0.35">
      <c r="A183" t="s">
        <v>4</v>
      </c>
      <c r="B183" t="s">
        <v>32</v>
      </c>
      <c r="C183">
        <v>24</v>
      </c>
      <c r="D183">
        <v>27</v>
      </c>
      <c r="E183">
        <f>SIGN(C183-D183)</f>
        <v>-1</v>
      </c>
      <c r="F183">
        <f>SIGN(D183-C183)</f>
        <v>1</v>
      </c>
      <c r="G183">
        <f>COUNTIF($A$2:A183,A183)+COUNTIF($B$2:B183,A183)</f>
        <v>12</v>
      </c>
      <c r="H183">
        <f>COUNTIF($A$2:A183,B183)+COUNTIF($B$2:B183,B183)</f>
        <v>12</v>
      </c>
    </row>
    <row r="184" spans="1:8" x14ac:dyDescent="0.35">
      <c r="A184" t="s">
        <v>8</v>
      </c>
      <c r="B184" t="s">
        <v>21</v>
      </c>
      <c r="C184">
        <v>20</v>
      </c>
      <c r="D184">
        <v>17</v>
      </c>
      <c r="E184">
        <f>SIGN(C184-D184)</f>
        <v>1</v>
      </c>
      <c r="F184">
        <f>SIGN(D184-C184)</f>
        <v>-1</v>
      </c>
      <c r="G184">
        <f>COUNTIF($A$2:A184,A184)+COUNTIF($B$2:B184,A184)</f>
        <v>12</v>
      </c>
      <c r="H184">
        <f>COUNTIF($A$2:A184,B184)+COUNTIF($B$2:B184,B184)</f>
        <v>12</v>
      </c>
    </row>
    <row r="185" spans="1:8" x14ac:dyDescent="0.35">
      <c r="A185" t="s">
        <v>10</v>
      </c>
      <c r="B185" t="s">
        <v>19</v>
      </c>
      <c r="C185">
        <v>31</v>
      </c>
      <c r="D185">
        <v>24</v>
      </c>
      <c r="E185">
        <f>SIGN(C185-D185)</f>
        <v>1</v>
      </c>
      <c r="F185">
        <f>SIGN(D185-C185)</f>
        <v>-1</v>
      </c>
      <c r="G185">
        <f>COUNTIF($A$2:A185,A185)+COUNTIF($B$2:B185,A185)</f>
        <v>12</v>
      </c>
      <c r="H185">
        <f>COUNTIF($A$2:A185,B185)+COUNTIF($B$2:B185,B185)</f>
        <v>12</v>
      </c>
    </row>
    <row r="186" spans="1:8" x14ac:dyDescent="0.35">
      <c r="A186" t="s">
        <v>20</v>
      </c>
      <c r="B186" t="s">
        <v>29</v>
      </c>
      <c r="C186">
        <v>30</v>
      </c>
      <c r="D186">
        <v>17</v>
      </c>
      <c r="E186">
        <f>SIGN(C186-D186)</f>
        <v>1</v>
      </c>
      <c r="F186">
        <f>SIGN(D186-C186)</f>
        <v>-1</v>
      </c>
      <c r="G186">
        <f>COUNTIF($A$2:A186,A186)+COUNTIF($B$2:B186,A186)</f>
        <v>12</v>
      </c>
      <c r="H186">
        <f>COUNTIF($A$2:A186,B186)+COUNTIF($B$2:B186,B186)</f>
        <v>12</v>
      </c>
    </row>
    <row r="187" spans="1:8" x14ac:dyDescent="0.35">
      <c r="A187" t="s">
        <v>6</v>
      </c>
      <c r="B187" t="s">
        <v>23</v>
      </c>
      <c r="C187">
        <v>7</v>
      </c>
      <c r="D187">
        <v>34</v>
      </c>
      <c r="E187">
        <f>SIGN(C187-D187)</f>
        <v>-1</v>
      </c>
      <c r="F187">
        <f>SIGN(D187-C187)</f>
        <v>1</v>
      </c>
      <c r="G187">
        <f>COUNTIF($A$2:A187,A187)+COUNTIF($B$2:B187,A187)</f>
        <v>12</v>
      </c>
      <c r="H187">
        <f>COUNTIF($A$2:A187,B187)+COUNTIF($B$2:B187,B187)</f>
        <v>12</v>
      </c>
    </row>
    <row r="188" spans="1:8" x14ac:dyDescent="0.35">
      <c r="A188" t="s">
        <v>22</v>
      </c>
      <c r="B188" t="s">
        <v>18</v>
      </c>
      <c r="C188">
        <v>16</v>
      </c>
      <c r="D188">
        <v>6</v>
      </c>
      <c r="E188">
        <f>SIGN(C188-D188)</f>
        <v>1</v>
      </c>
      <c r="F188">
        <f>SIGN(D188-C188)</f>
        <v>-1</v>
      </c>
      <c r="G188">
        <f>COUNTIF($A$2:A188,A188)+COUNTIF($B$2:B188,A188)</f>
        <v>12</v>
      </c>
      <c r="H188">
        <f>COUNTIF($A$2:A188,B188)+COUNTIF($B$2:B188,B188)</f>
        <v>12</v>
      </c>
    </row>
    <row r="189" spans="1:8" x14ac:dyDescent="0.35">
      <c r="A189" t="s">
        <v>25</v>
      </c>
      <c r="B189" t="s">
        <v>9</v>
      </c>
      <c r="C189">
        <v>17</v>
      </c>
      <c r="D189">
        <v>9</v>
      </c>
      <c r="E189">
        <f>SIGN(C189-D189)</f>
        <v>1</v>
      </c>
      <c r="F189">
        <f>SIGN(D189-C189)</f>
        <v>-1</v>
      </c>
      <c r="G189">
        <f>COUNTIF($A$2:A189,A189)+COUNTIF($B$2:B189,A189)</f>
        <v>12</v>
      </c>
      <c r="H189">
        <f>COUNTIF($A$2:A189,B189)+COUNTIF($B$2:B189,B189)</f>
        <v>12</v>
      </c>
    </row>
    <row r="190" spans="1:8" x14ac:dyDescent="0.35">
      <c r="A190" t="s">
        <v>26</v>
      </c>
      <c r="B190" t="s">
        <v>17</v>
      </c>
      <c r="C190">
        <v>23</v>
      </c>
      <c r="D190">
        <v>13</v>
      </c>
      <c r="E190">
        <f>SIGN(C190-D190)</f>
        <v>1</v>
      </c>
      <c r="F190">
        <f>SIGN(D190-C190)</f>
        <v>-1</v>
      </c>
      <c r="G190">
        <f>COUNTIF($A$2:A190,A190)+COUNTIF($B$2:B190,A190)</f>
        <v>12</v>
      </c>
      <c r="H190">
        <f>COUNTIF($A$2:A190,B190)+COUNTIF($B$2:B190,B190)</f>
        <v>12</v>
      </c>
    </row>
    <row r="191" spans="1:8" x14ac:dyDescent="0.35">
      <c r="A191" t="s">
        <v>28</v>
      </c>
      <c r="B191" t="s">
        <v>33</v>
      </c>
      <c r="C191">
        <v>23</v>
      </c>
      <c r="D191">
        <v>30</v>
      </c>
      <c r="E191">
        <f>SIGN(C191-D191)</f>
        <v>-1</v>
      </c>
      <c r="F191">
        <f>SIGN(D191-C191)</f>
        <v>1</v>
      </c>
      <c r="G191">
        <f>COUNTIF($A$2:A191,A191)+COUNTIF($B$2:B191,A191)</f>
        <v>12</v>
      </c>
      <c r="H191">
        <f>COUNTIF($A$2:A191,B191)+COUNTIF($B$2:B191,B191)</f>
        <v>12</v>
      </c>
    </row>
    <row r="192" spans="1:8" x14ac:dyDescent="0.35">
      <c r="A192" t="s">
        <v>30</v>
      </c>
      <c r="B192" t="s">
        <v>5</v>
      </c>
      <c r="C192">
        <v>27</v>
      </c>
      <c r="D192">
        <v>17</v>
      </c>
      <c r="E192">
        <f>SIGN(C192-D192)</f>
        <v>1</v>
      </c>
      <c r="F192">
        <f>SIGN(D192-C192)</f>
        <v>-1</v>
      </c>
      <c r="G192">
        <f>COUNTIF($A$2:A192,A192)+COUNTIF($B$2:B192,A192)</f>
        <v>12</v>
      </c>
      <c r="H192">
        <f>COUNTIF($A$2:A192,B192)+COUNTIF($B$2:B192,B192)</f>
        <v>12</v>
      </c>
    </row>
    <row r="193" spans="1:8" x14ac:dyDescent="0.35">
      <c r="A193" t="s">
        <v>24</v>
      </c>
      <c r="B193" t="s">
        <v>12</v>
      </c>
      <c r="C193">
        <v>27</v>
      </c>
      <c r="D193">
        <v>14</v>
      </c>
      <c r="E193">
        <f>SIGN(C193-D193)</f>
        <v>1</v>
      </c>
      <c r="F193">
        <f>SIGN(D193-C193)</f>
        <v>-1</v>
      </c>
      <c r="G193">
        <f>COUNTIF($A$2:A193,A193)+COUNTIF($B$2:B193,A193)</f>
        <v>12</v>
      </c>
      <c r="H193">
        <f>COUNTIF($A$2:A193,B193)+COUNTIF($B$2:B193,B193)</f>
        <v>12</v>
      </c>
    </row>
    <row r="194" spans="1:8" x14ac:dyDescent="0.35">
      <c r="A194" t="s">
        <v>28</v>
      </c>
      <c r="B194" t="s">
        <v>4</v>
      </c>
      <c r="C194">
        <v>13</v>
      </c>
      <c r="D194">
        <v>6</v>
      </c>
      <c r="E194">
        <f>SIGN(C194-D194)</f>
        <v>1</v>
      </c>
      <c r="F194">
        <f>SIGN(D194-C194)</f>
        <v>-1</v>
      </c>
      <c r="G194">
        <f>COUNTIF($A$2:A194,A194)+COUNTIF($B$2:B194,A194)</f>
        <v>13</v>
      </c>
      <c r="H194">
        <f>COUNTIF($A$2:A194,B194)+COUNTIF($B$2:B194,B194)</f>
        <v>13</v>
      </c>
    </row>
    <row r="195" spans="1:8" x14ac:dyDescent="0.35">
      <c r="A195" t="s">
        <v>14</v>
      </c>
      <c r="B195" t="s">
        <v>8</v>
      </c>
      <c r="C195">
        <v>34</v>
      </c>
      <c r="D195">
        <v>7</v>
      </c>
      <c r="E195">
        <f>SIGN(C195-D195)</f>
        <v>1</v>
      </c>
      <c r="F195">
        <f>SIGN(D195-C195)</f>
        <v>-1</v>
      </c>
      <c r="G195">
        <f>COUNTIF($A$2:A195,A195)+COUNTIF($B$2:B195,A195)</f>
        <v>13</v>
      </c>
      <c r="H195">
        <f>COUNTIF($A$2:A195,B195)+COUNTIF($B$2:B195,B195)</f>
        <v>13</v>
      </c>
    </row>
    <row r="196" spans="1:8" x14ac:dyDescent="0.35">
      <c r="A196" t="s">
        <v>31</v>
      </c>
      <c r="B196" t="s">
        <v>7</v>
      </c>
      <c r="C196">
        <v>10</v>
      </c>
      <c r="D196">
        <v>14</v>
      </c>
      <c r="E196">
        <f>SIGN(C196-D196)</f>
        <v>-1</v>
      </c>
      <c r="F196">
        <f>SIGN(D196-C196)</f>
        <v>1</v>
      </c>
      <c r="G196">
        <f>COUNTIF($A$2:A196,A196)+COUNTIF($B$2:B196,A196)</f>
        <v>13</v>
      </c>
      <c r="H196">
        <f>COUNTIF($A$2:A196,B196)+COUNTIF($B$2:B196,B196)</f>
        <v>13</v>
      </c>
    </row>
    <row r="197" spans="1:8" x14ac:dyDescent="0.35">
      <c r="A197" t="s">
        <v>10</v>
      </c>
      <c r="B197" t="s">
        <v>23</v>
      </c>
      <c r="C197">
        <v>38</v>
      </c>
      <c r="D197">
        <v>45</v>
      </c>
      <c r="E197">
        <f>SIGN(C197-D197)</f>
        <v>-1</v>
      </c>
      <c r="F197">
        <f>SIGN(D197-C197)</f>
        <v>1</v>
      </c>
      <c r="G197">
        <f>COUNTIF($A$2:A197,A197)+COUNTIF($B$2:B197,A197)</f>
        <v>13</v>
      </c>
      <c r="H197">
        <f>COUNTIF($A$2:A197,B197)+COUNTIF($B$2:B197,B197)</f>
        <v>13</v>
      </c>
    </row>
    <row r="198" spans="1:8" x14ac:dyDescent="0.35">
      <c r="A198" t="s">
        <v>18</v>
      </c>
      <c r="B198" t="s">
        <v>15</v>
      </c>
      <c r="C198">
        <v>3</v>
      </c>
      <c r="D198">
        <v>26</v>
      </c>
      <c r="E198">
        <f>SIGN(C198-D198)</f>
        <v>-1</v>
      </c>
      <c r="F198">
        <f>SIGN(D198-C198)</f>
        <v>1</v>
      </c>
      <c r="G198">
        <f>COUNTIF($A$2:A198,A198)+COUNTIF($B$2:B198,A198)</f>
        <v>13</v>
      </c>
      <c r="H198">
        <f>COUNTIF($A$2:A198,B198)+COUNTIF($B$2:B198,B198)</f>
        <v>13</v>
      </c>
    </row>
    <row r="199" spans="1:8" x14ac:dyDescent="0.35">
      <c r="A199" t="s">
        <v>5</v>
      </c>
      <c r="B199" t="s">
        <v>9</v>
      </c>
      <c r="C199">
        <v>47</v>
      </c>
      <c r="D199">
        <v>7</v>
      </c>
      <c r="E199">
        <f>SIGN(C199-D199)</f>
        <v>1</v>
      </c>
      <c r="F199">
        <f>SIGN(D199-C199)</f>
        <v>-1</v>
      </c>
      <c r="G199">
        <f>COUNTIF($A$2:A199,A199)+COUNTIF($B$2:B199,A199)</f>
        <v>13</v>
      </c>
      <c r="H199">
        <f>COUNTIF($A$2:A199,B199)+COUNTIF($B$2:B199,B199)</f>
        <v>13</v>
      </c>
    </row>
    <row r="200" spans="1:8" x14ac:dyDescent="0.35">
      <c r="A200" t="s">
        <v>32</v>
      </c>
      <c r="B200" t="s">
        <v>11</v>
      </c>
      <c r="C200">
        <v>13</v>
      </c>
      <c r="D200">
        <v>34</v>
      </c>
      <c r="E200">
        <f>SIGN(C200-D200)</f>
        <v>-1</v>
      </c>
      <c r="F200">
        <f>SIGN(D200-C200)</f>
        <v>1</v>
      </c>
      <c r="G200">
        <f>COUNTIF($A$2:A200,A200)+COUNTIF($B$2:B200,A200)</f>
        <v>13</v>
      </c>
      <c r="H200">
        <f>COUNTIF($A$2:A200,B200)+COUNTIF($B$2:B200,B200)</f>
        <v>13</v>
      </c>
    </row>
    <row r="201" spans="1:8" x14ac:dyDescent="0.35">
      <c r="A201" t="s">
        <v>12</v>
      </c>
      <c r="B201" t="s">
        <v>17</v>
      </c>
      <c r="C201">
        <v>48</v>
      </c>
      <c r="D201">
        <v>3</v>
      </c>
      <c r="E201">
        <f>SIGN(C201-D201)</f>
        <v>1</v>
      </c>
      <c r="F201">
        <f>SIGN(D201-C201)</f>
        <v>-1</v>
      </c>
      <c r="G201">
        <f>COUNTIF($A$2:A201,A201)+COUNTIF($B$2:B201,A201)</f>
        <v>13</v>
      </c>
      <c r="H201">
        <f>COUNTIF($A$2:A201,B201)+COUNTIF($B$2:B201,B201)</f>
        <v>13</v>
      </c>
    </row>
    <row r="202" spans="1:8" x14ac:dyDescent="0.35">
      <c r="A202" t="s">
        <v>19</v>
      </c>
      <c r="B202" t="s">
        <v>33</v>
      </c>
      <c r="C202">
        <v>17</v>
      </c>
      <c r="D202">
        <v>20</v>
      </c>
      <c r="E202">
        <f>SIGN(C202-D202)</f>
        <v>-1</v>
      </c>
      <c r="F202">
        <f>SIGN(D202-C202)</f>
        <v>1</v>
      </c>
      <c r="G202">
        <f>COUNTIF($A$2:A202,A202)+COUNTIF($B$2:B202,A202)</f>
        <v>13</v>
      </c>
      <c r="H202">
        <f>COUNTIF($A$2:A202,B202)+COUNTIF($B$2:B202,B202)</f>
        <v>13</v>
      </c>
    </row>
    <row r="203" spans="1:8" x14ac:dyDescent="0.35">
      <c r="A203" t="s">
        <v>30</v>
      </c>
      <c r="B203" t="s">
        <v>27</v>
      </c>
      <c r="C203">
        <v>28</v>
      </c>
      <c r="D203">
        <v>16</v>
      </c>
      <c r="E203">
        <f>SIGN(C203-D203)</f>
        <v>1</v>
      </c>
      <c r="F203">
        <f>SIGN(D203-C203)</f>
        <v>-1</v>
      </c>
      <c r="G203">
        <f>COUNTIF($A$2:A203,A203)+COUNTIF($B$2:B203,A203)</f>
        <v>13</v>
      </c>
      <c r="H203">
        <f>COUNTIF($A$2:A203,B203)+COUNTIF($B$2:B203,B203)</f>
        <v>13</v>
      </c>
    </row>
    <row r="204" spans="1:8" x14ac:dyDescent="0.35">
      <c r="A204" t="s">
        <v>29</v>
      </c>
      <c r="B204" t="s">
        <v>26</v>
      </c>
      <c r="C204">
        <v>30</v>
      </c>
      <c r="D204">
        <v>10</v>
      </c>
      <c r="E204">
        <f>SIGN(C204-D204)</f>
        <v>1</v>
      </c>
      <c r="F204">
        <f>SIGN(D204-C204)</f>
        <v>-1</v>
      </c>
      <c r="G204">
        <f>COUNTIF($A$2:A204,A204)+COUNTIF($B$2:B204,A204)</f>
        <v>13</v>
      </c>
      <c r="H204">
        <f>COUNTIF($A$2:A204,B204)+COUNTIF($B$2:B204,B204)</f>
        <v>13</v>
      </c>
    </row>
    <row r="205" spans="1:8" x14ac:dyDescent="0.35">
      <c r="A205" t="s">
        <v>25</v>
      </c>
      <c r="B205" t="s">
        <v>24</v>
      </c>
      <c r="C205">
        <v>14</v>
      </c>
      <c r="D205">
        <v>21</v>
      </c>
      <c r="E205">
        <f>SIGN(C205-D205)</f>
        <v>-1</v>
      </c>
      <c r="F205">
        <f>SIGN(D205-C205)</f>
        <v>1</v>
      </c>
      <c r="G205">
        <f>COUNTIF($A$2:A205,A205)+COUNTIF($B$2:B205,A205)</f>
        <v>13</v>
      </c>
      <c r="H205">
        <f>COUNTIF($A$2:A205,B205)+COUNTIF($B$2:B205,B205)</f>
        <v>13</v>
      </c>
    </row>
    <row r="206" spans="1:8" x14ac:dyDescent="0.35">
      <c r="A206" t="s">
        <v>34</v>
      </c>
      <c r="B206" t="s">
        <v>22</v>
      </c>
      <c r="C206">
        <v>20</v>
      </c>
      <c r="D206">
        <v>10</v>
      </c>
      <c r="E206">
        <f>SIGN(C206-D206)</f>
        <v>1</v>
      </c>
      <c r="F206">
        <f>SIGN(D206-C206)</f>
        <v>-1</v>
      </c>
      <c r="G206">
        <f>COUNTIF($A$2:A206,A206)+COUNTIF($B$2:B206,A206)</f>
        <v>13</v>
      </c>
      <c r="H206">
        <f>COUNTIF($A$2:A206,B206)+COUNTIF($B$2:B206,B206)</f>
        <v>13</v>
      </c>
    </row>
    <row r="207" spans="1:8" x14ac:dyDescent="0.35">
      <c r="A207" t="s">
        <v>13</v>
      </c>
      <c r="B207" t="s">
        <v>35</v>
      </c>
      <c r="C207">
        <v>10</v>
      </c>
      <c r="D207">
        <v>16</v>
      </c>
      <c r="E207">
        <f>SIGN(C207-D207)</f>
        <v>-1</v>
      </c>
      <c r="F207">
        <f>SIGN(D207-C207)</f>
        <v>1</v>
      </c>
      <c r="G207">
        <f>COUNTIF($A$2:A207,A207)+COUNTIF($B$2:B207,A207)</f>
        <v>13</v>
      </c>
      <c r="H207">
        <f>COUNTIF($A$2:A207,B207)+COUNTIF($B$2:B207,B207)</f>
        <v>13</v>
      </c>
    </row>
    <row r="208" spans="1:8" x14ac:dyDescent="0.35">
      <c r="A208" t="s">
        <v>6</v>
      </c>
      <c r="B208" t="s">
        <v>16</v>
      </c>
      <c r="C208">
        <v>23</v>
      </c>
      <c r="D208">
        <v>26</v>
      </c>
      <c r="E208">
        <f>SIGN(C208-D208)</f>
        <v>-1</v>
      </c>
      <c r="F208">
        <f>SIGN(D208-C208)</f>
        <v>1</v>
      </c>
      <c r="G208">
        <f>COUNTIF($A$2:A208,A208)+COUNTIF($B$2:B208,A208)</f>
        <v>13</v>
      </c>
      <c r="H208">
        <f>COUNTIF($A$2:A208,B208)+COUNTIF($B$2:B208,B208)</f>
        <v>13</v>
      </c>
    </row>
    <row r="209" spans="1:8" x14ac:dyDescent="0.35">
      <c r="A209" t="s">
        <v>21</v>
      </c>
      <c r="B209" t="s">
        <v>20</v>
      </c>
      <c r="C209">
        <v>24</v>
      </c>
      <c r="D209">
        <v>9</v>
      </c>
      <c r="E209">
        <f>SIGN(C209-D209)</f>
        <v>1</v>
      </c>
      <c r="F209">
        <f>SIGN(D209-C209)</f>
        <v>-1</v>
      </c>
      <c r="G209">
        <f>COUNTIF($A$2:A209,A209)+COUNTIF($B$2:B209,A209)</f>
        <v>13</v>
      </c>
      <c r="H209">
        <f>COUNTIF($A$2:A209,B209)+COUNTIF($B$2:B209,B209)</f>
        <v>13</v>
      </c>
    </row>
    <row r="210" spans="1:8" x14ac:dyDescent="0.35">
      <c r="A210" t="s">
        <v>31</v>
      </c>
      <c r="B210" t="s">
        <v>30</v>
      </c>
      <c r="C210">
        <v>31</v>
      </c>
      <c r="D210">
        <v>35</v>
      </c>
      <c r="E210">
        <f>SIGN(C210-D210)</f>
        <v>-1</v>
      </c>
      <c r="F210">
        <f>SIGN(D210-C210)</f>
        <v>1</v>
      </c>
      <c r="G210">
        <f>COUNTIF($A$2:A210,A210)+COUNTIF($B$2:B210,A210)</f>
        <v>14</v>
      </c>
      <c r="H210">
        <f>COUNTIF($A$2:A210,B210)+COUNTIF($B$2:B210,B210)</f>
        <v>14</v>
      </c>
    </row>
    <row r="211" spans="1:8" x14ac:dyDescent="0.35">
      <c r="A211" t="s">
        <v>16</v>
      </c>
      <c r="B211" t="s">
        <v>19</v>
      </c>
      <c r="C211">
        <v>17</v>
      </c>
      <c r="D211">
        <v>24</v>
      </c>
      <c r="E211">
        <f>SIGN(C211-D211)</f>
        <v>-1</v>
      </c>
      <c r="F211">
        <f>SIGN(D211-C211)</f>
        <v>1</v>
      </c>
      <c r="G211">
        <f>COUNTIF($A$2:A211,A211)+COUNTIF($B$2:B211,A211)</f>
        <v>14</v>
      </c>
      <c r="H211">
        <f>COUNTIF($A$2:A211,B211)+COUNTIF($B$2:B211,B211)</f>
        <v>14</v>
      </c>
    </row>
    <row r="212" spans="1:8" x14ac:dyDescent="0.35">
      <c r="A212" t="s">
        <v>23</v>
      </c>
      <c r="B212" t="s">
        <v>21</v>
      </c>
      <c r="C212">
        <v>27</v>
      </c>
      <c r="D212">
        <v>13</v>
      </c>
      <c r="E212">
        <f>SIGN(C212-D212)</f>
        <v>1</v>
      </c>
      <c r="F212">
        <f>SIGN(D212-C212)</f>
        <v>-1</v>
      </c>
      <c r="G212">
        <f>COUNTIF($A$2:A212,A212)+COUNTIF($B$2:B212,A212)</f>
        <v>14</v>
      </c>
      <c r="H212">
        <f>COUNTIF($A$2:A212,B212)+COUNTIF($B$2:B212,B212)</f>
        <v>14</v>
      </c>
    </row>
    <row r="213" spans="1:8" x14ac:dyDescent="0.35">
      <c r="A213" t="s">
        <v>5</v>
      </c>
      <c r="B213" t="s">
        <v>7</v>
      </c>
      <c r="C213">
        <v>27</v>
      </c>
      <c r="D213">
        <v>24</v>
      </c>
      <c r="E213">
        <f>SIGN(C213-D213)</f>
        <v>1</v>
      </c>
      <c r="F213">
        <f>SIGN(D213-C213)</f>
        <v>-1</v>
      </c>
      <c r="G213">
        <f>COUNTIF($A$2:A213,A213)+COUNTIF($B$2:B213,A213)</f>
        <v>14</v>
      </c>
      <c r="H213">
        <f>COUNTIF($A$2:A213,B213)+COUNTIF($B$2:B213,B213)</f>
        <v>14</v>
      </c>
    </row>
    <row r="214" spans="1:8" x14ac:dyDescent="0.35">
      <c r="A214" t="s">
        <v>9</v>
      </c>
      <c r="B214" t="s">
        <v>14</v>
      </c>
      <c r="C214">
        <v>13</v>
      </c>
      <c r="D214">
        <v>16</v>
      </c>
      <c r="E214">
        <f>SIGN(C214-D214)</f>
        <v>-1</v>
      </c>
      <c r="F214">
        <f>SIGN(D214-C214)</f>
        <v>1</v>
      </c>
      <c r="G214">
        <f>COUNTIF($A$2:A214,A214)+COUNTIF($B$2:B214,A214)</f>
        <v>14</v>
      </c>
      <c r="H214">
        <f>COUNTIF($A$2:A214,B214)+COUNTIF($B$2:B214,B214)</f>
        <v>14</v>
      </c>
    </row>
    <row r="215" spans="1:8" x14ac:dyDescent="0.35">
      <c r="A215" t="s">
        <v>4</v>
      </c>
      <c r="B215" t="s">
        <v>24</v>
      </c>
      <c r="C215">
        <v>37</v>
      </c>
      <c r="D215">
        <v>36</v>
      </c>
      <c r="E215">
        <f>SIGN(C215-D215)</f>
        <v>1</v>
      </c>
      <c r="F215">
        <f>SIGN(D215-C215)</f>
        <v>-1</v>
      </c>
      <c r="G215">
        <f>COUNTIF($A$2:A215,A215)+COUNTIF($B$2:B215,A215)</f>
        <v>14</v>
      </c>
      <c r="H215">
        <f>COUNTIF($A$2:A215,B215)+COUNTIF($B$2:B215,B215)</f>
        <v>14</v>
      </c>
    </row>
    <row r="216" spans="1:8" x14ac:dyDescent="0.35">
      <c r="A216" t="s">
        <v>27</v>
      </c>
      <c r="B216" t="s">
        <v>32</v>
      </c>
      <c r="C216">
        <v>19</v>
      </c>
      <c r="D216">
        <v>20</v>
      </c>
      <c r="E216">
        <f>SIGN(C216-D216)</f>
        <v>-1</v>
      </c>
      <c r="F216">
        <f>SIGN(D216-C216)</f>
        <v>1</v>
      </c>
      <c r="G216">
        <f>COUNTIF($A$2:A216,A216)+COUNTIF($B$2:B216,A216)</f>
        <v>14</v>
      </c>
      <c r="H216">
        <f>COUNTIF($A$2:A216,B216)+COUNTIF($B$2:B216,B216)</f>
        <v>14</v>
      </c>
    </row>
    <row r="217" spans="1:8" x14ac:dyDescent="0.35">
      <c r="A217" t="s">
        <v>8</v>
      </c>
      <c r="B217" t="s">
        <v>18</v>
      </c>
      <c r="C217">
        <v>7</v>
      </c>
      <c r="D217">
        <v>24</v>
      </c>
      <c r="E217">
        <f>SIGN(C217-D217)</f>
        <v>-1</v>
      </c>
      <c r="F217">
        <f>SIGN(D217-C217)</f>
        <v>1</v>
      </c>
      <c r="G217">
        <f>COUNTIF($A$2:A217,A217)+COUNTIF($B$2:B217,A217)</f>
        <v>14</v>
      </c>
      <c r="H217">
        <f>COUNTIF($A$2:A217,B217)+COUNTIF($B$2:B217,B217)</f>
        <v>14</v>
      </c>
    </row>
    <row r="218" spans="1:8" x14ac:dyDescent="0.35">
      <c r="A218" t="s">
        <v>17</v>
      </c>
      <c r="B218" t="s">
        <v>20</v>
      </c>
      <c r="C218">
        <v>24</v>
      </c>
      <c r="D218">
        <v>31</v>
      </c>
      <c r="E218">
        <f>SIGN(C218-D218)</f>
        <v>-1</v>
      </c>
      <c r="F218">
        <f>SIGN(D218-C218)</f>
        <v>1</v>
      </c>
      <c r="G218">
        <f>COUNTIF($A$2:A218,A218)+COUNTIF($B$2:B218,A218)</f>
        <v>14</v>
      </c>
      <c r="H218">
        <f>COUNTIF($A$2:A218,B218)+COUNTIF($B$2:B218,B218)</f>
        <v>14</v>
      </c>
    </row>
    <row r="219" spans="1:8" x14ac:dyDescent="0.35">
      <c r="A219" t="s">
        <v>13</v>
      </c>
      <c r="B219" t="s">
        <v>28</v>
      </c>
      <c r="C219">
        <v>34</v>
      </c>
      <c r="D219">
        <v>41</v>
      </c>
      <c r="E219">
        <f>SIGN(C219-D219)</f>
        <v>-1</v>
      </c>
      <c r="F219">
        <f>SIGN(D219-C219)</f>
        <v>1</v>
      </c>
      <c r="G219">
        <f>COUNTIF($A$2:A219,A219)+COUNTIF($B$2:B219,A219)</f>
        <v>14</v>
      </c>
      <c r="H219">
        <f>COUNTIF($A$2:A219,B219)+COUNTIF($B$2:B219,B219)</f>
        <v>14</v>
      </c>
    </row>
    <row r="220" spans="1:8" x14ac:dyDescent="0.35">
      <c r="A220" t="s">
        <v>33</v>
      </c>
      <c r="B220" t="s">
        <v>26</v>
      </c>
      <c r="C220">
        <v>27</v>
      </c>
      <c r="D220">
        <v>24</v>
      </c>
      <c r="E220">
        <f>SIGN(C220-D220)</f>
        <v>1</v>
      </c>
      <c r="F220">
        <f>SIGN(D220-C220)</f>
        <v>-1</v>
      </c>
      <c r="G220">
        <f>COUNTIF($A$2:A220,A220)+COUNTIF($B$2:B220,A220)</f>
        <v>14</v>
      </c>
      <c r="H220">
        <f>COUNTIF($A$2:A220,B220)+COUNTIF($B$2:B220,B220)</f>
        <v>14</v>
      </c>
    </row>
    <row r="221" spans="1:8" x14ac:dyDescent="0.35">
      <c r="A221" t="s">
        <v>12</v>
      </c>
      <c r="B221" t="s">
        <v>25</v>
      </c>
      <c r="C221">
        <v>31</v>
      </c>
      <c r="D221">
        <v>7</v>
      </c>
      <c r="E221">
        <f>SIGN(C221-D221)</f>
        <v>1</v>
      </c>
      <c r="F221">
        <f>SIGN(D221-C221)</f>
        <v>-1</v>
      </c>
      <c r="G221">
        <f>COUNTIF($A$2:A221,A221)+COUNTIF($B$2:B221,A221)</f>
        <v>14</v>
      </c>
      <c r="H221">
        <f>COUNTIF($A$2:A221,B221)+COUNTIF($B$2:B221,B221)</f>
        <v>14</v>
      </c>
    </row>
    <row r="222" spans="1:8" x14ac:dyDescent="0.35">
      <c r="A222" t="s">
        <v>22</v>
      </c>
      <c r="B222" t="s">
        <v>29</v>
      </c>
      <c r="C222">
        <v>26</v>
      </c>
      <c r="D222">
        <v>7</v>
      </c>
      <c r="E222">
        <f>SIGN(C222-D222)</f>
        <v>1</v>
      </c>
      <c r="F222">
        <f>SIGN(D222-C222)</f>
        <v>-1</v>
      </c>
      <c r="G222">
        <f>COUNTIF($A$2:A222,A222)+COUNTIF($B$2:B222,A222)</f>
        <v>14</v>
      </c>
      <c r="H222">
        <f>COUNTIF($A$2:A222,B222)+COUNTIF($B$2:B222,B222)</f>
        <v>14</v>
      </c>
    </row>
    <row r="223" spans="1:8" x14ac:dyDescent="0.35">
      <c r="A223" t="s">
        <v>35</v>
      </c>
      <c r="B223" t="s">
        <v>34</v>
      </c>
      <c r="C223">
        <v>10</v>
      </c>
      <c r="D223">
        <v>17</v>
      </c>
      <c r="E223">
        <f>SIGN(C223-D223)</f>
        <v>-1</v>
      </c>
      <c r="F223">
        <f>SIGN(D223-C223)</f>
        <v>1</v>
      </c>
      <c r="G223">
        <f>COUNTIF($A$2:A223,A223)+COUNTIF($B$2:B223,A223)</f>
        <v>14</v>
      </c>
      <c r="H223">
        <f>COUNTIF($A$2:A223,B223)+COUNTIF($B$2:B223,B223)</f>
        <v>14</v>
      </c>
    </row>
    <row r="224" spans="1:8" x14ac:dyDescent="0.35">
      <c r="A224" t="s">
        <v>15</v>
      </c>
      <c r="B224" t="s">
        <v>6</v>
      </c>
      <c r="C224">
        <v>7</v>
      </c>
      <c r="D224">
        <v>10</v>
      </c>
      <c r="E224">
        <f>SIGN(C224-D224)</f>
        <v>-1</v>
      </c>
      <c r="F224">
        <f>SIGN(D224-C224)</f>
        <v>1</v>
      </c>
      <c r="G224">
        <f>COUNTIF($A$2:A224,A224)+COUNTIF($B$2:B224,A224)</f>
        <v>14</v>
      </c>
      <c r="H224">
        <f>COUNTIF($A$2:A224,B224)+COUNTIF($B$2:B224,B224)</f>
        <v>14</v>
      </c>
    </row>
    <row r="225" spans="1:8" x14ac:dyDescent="0.35">
      <c r="A225" t="s">
        <v>11</v>
      </c>
      <c r="B225" t="s">
        <v>10</v>
      </c>
      <c r="C225">
        <v>12</v>
      </c>
      <c r="D225">
        <v>45</v>
      </c>
      <c r="E225">
        <f>SIGN(C225-D225)</f>
        <v>-1</v>
      </c>
      <c r="F225">
        <f>SIGN(D225-C225)</f>
        <v>1</v>
      </c>
      <c r="G225">
        <f>COUNTIF($A$2:A225,A225)+COUNTIF($B$2:B225,A225)</f>
        <v>14</v>
      </c>
      <c r="H225">
        <f>COUNTIF($A$2:A225,B225)+COUNTIF($B$2:B225,B225)</f>
        <v>14</v>
      </c>
    </row>
    <row r="226" spans="1:8" x14ac:dyDescent="0.35">
      <c r="A226" t="s">
        <v>5</v>
      </c>
      <c r="B226" t="s">
        <v>33</v>
      </c>
      <c r="C226">
        <v>17</v>
      </c>
      <c r="D226">
        <v>42</v>
      </c>
      <c r="E226">
        <f>SIGN(C226-D226)</f>
        <v>-1</v>
      </c>
      <c r="F226">
        <f>SIGN(D226-C226)</f>
        <v>1</v>
      </c>
      <c r="G226">
        <f>COUNTIF($A$2:A226,A226)+COUNTIF($B$2:B226,A226)</f>
        <v>15</v>
      </c>
      <c r="H226">
        <f>COUNTIF($A$2:A226,B226)+COUNTIF($B$2:B226,B226)</f>
        <v>15</v>
      </c>
    </row>
    <row r="227" spans="1:8" x14ac:dyDescent="0.35">
      <c r="A227" t="s">
        <v>10</v>
      </c>
      <c r="B227" t="s">
        <v>22</v>
      </c>
      <c r="C227">
        <v>9</v>
      </c>
      <c r="D227">
        <v>41</v>
      </c>
      <c r="E227">
        <f>SIGN(C227-D227)</f>
        <v>-1</v>
      </c>
      <c r="F227">
        <f>SIGN(D227-C227)</f>
        <v>1</v>
      </c>
      <c r="G227">
        <f>COUNTIF($A$2:A227,A227)+COUNTIF($B$2:B227,A227)</f>
        <v>15</v>
      </c>
      <c r="H227">
        <f>COUNTIF($A$2:A227,B227)+COUNTIF($B$2:B227,B227)</f>
        <v>15</v>
      </c>
    </row>
    <row r="228" spans="1:8" x14ac:dyDescent="0.35">
      <c r="A228" t="s">
        <v>16</v>
      </c>
      <c r="B228" t="s">
        <v>18</v>
      </c>
      <c r="C228">
        <v>17</v>
      </c>
      <c r="D228">
        <v>20</v>
      </c>
      <c r="E228">
        <f>SIGN(C228-D228)</f>
        <v>-1</v>
      </c>
      <c r="F228">
        <f>SIGN(D228-C228)</f>
        <v>1</v>
      </c>
      <c r="G228">
        <f>COUNTIF($A$2:A228,A228)+COUNTIF($B$2:B228,A228)</f>
        <v>15</v>
      </c>
      <c r="H228">
        <f>COUNTIF($A$2:A228,B228)+COUNTIF($B$2:B228,B228)</f>
        <v>15</v>
      </c>
    </row>
    <row r="229" spans="1:8" x14ac:dyDescent="0.35">
      <c r="A229" t="s">
        <v>34</v>
      </c>
      <c r="B229" t="s">
        <v>31</v>
      </c>
      <c r="C229">
        <v>35</v>
      </c>
      <c r="D229">
        <v>7</v>
      </c>
      <c r="E229">
        <f>SIGN(C229-D229)</f>
        <v>1</v>
      </c>
      <c r="F229">
        <f>SIGN(D229-C229)</f>
        <v>-1</v>
      </c>
      <c r="G229">
        <f>COUNTIF($A$2:A229,A229)+COUNTIF($B$2:B229,A229)</f>
        <v>15</v>
      </c>
      <c r="H229">
        <f>COUNTIF($A$2:A229,B229)+COUNTIF($B$2:B229,B229)</f>
        <v>15</v>
      </c>
    </row>
    <row r="230" spans="1:8" x14ac:dyDescent="0.35">
      <c r="A230" t="s">
        <v>7</v>
      </c>
      <c r="B230" t="s">
        <v>14</v>
      </c>
      <c r="C230">
        <v>20</v>
      </c>
      <c r="D230">
        <v>27</v>
      </c>
      <c r="E230">
        <f>SIGN(C230-D230)</f>
        <v>-1</v>
      </c>
      <c r="F230">
        <f>SIGN(D230-C230)</f>
        <v>1</v>
      </c>
      <c r="G230">
        <f>COUNTIF($A$2:A230,A230)+COUNTIF($B$2:B230,A230)</f>
        <v>15</v>
      </c>
      <c r="H230">
        <f>COUNTIF($A$2:A230,B230)+COUNTIF($B$2:B230,B230)</f>
        <v>15</v>
      </c>
    </row>
    <row r="231" spans="1:8" x14ac:dyDescent="0.35">
      <c r="A231" t="s">
        <v>4</v>
      </c>
      <c r="B231" t="s">
        <v>12</v>
      </c>
      <c r="C231">
        <v>23</v>
      </c>
      <c r="D231">
        <v>20</v>
      </c>
      <c r="E231">
        <f>SIGN(C231-D231)</f>
        <v>1</v>
      </c>
      <c r="F231">
        <f>SIGN(D231-C231)</f>
        <v>-1</v>
      </c>
      <c r="G231">
        <f>COUNTIF($A$2:A231,A231)+COUNTIF($B$2:B231,A231)</f>
        <v>15</v>
      </c>
      <c r="H231">
        <f>COUNTIF($A$2:A231,B231)+COUNTIF($B$2:B231,B231)</f>
        <v>15</v>
      </c>
    </row>
    <row r="232" spans="1:8" x14ac:dyDescent="0.35">
      <c r="A232" t="s">
        <v>21</v>
      </c>
      <c r="B232" t="s">
        <v>17</v>
      </c>
      <c r="C232">
        <v>20</v>
      </c>
      <c r="D232">
        <v>6</v>
      </c>
      <c r="E232">
        <f>SIGN(C232-D232)</f>
        <v>1</v>
      </c>
      <c r="F232">
        <f>SIGN(D232-C232)</f>
        <v>-1</v>
      </c>
      <c r="G232">
        <f>COUNTIF($A$2:A232,A232)+COUNTIF($B$2:B232,A232)</f>
        <v>15</v>
      </c>
      <c r="H232">
        <f>COUNTIF($A$2:A232,B232)+COUNTIF($B$2:B232,B232)</f>
        <v>15</v>
      </c>
    </row>
    <row r="233" spans="1:8" x14ac:dyDescent="0.35">
      <c r="A233" t="s">
        <v>23</v>
      </c>
      <c r="B233" t="s">
        <v>27</v>
      </c>
      <c r="C233">
        <v>30</v>
      </c>
      <c r="D233">
        <v>27</v>
      </c>
      <c r="E233">
        <f>SIGN(C233-D233)</f>
        <v>1</v>
      </c>
      <c r="F233">
        <f>SIGN(D233-C233)</f>
        <v>-1</v>
      </c>
      <c r="G233">
        <f>COUNTIF($A$2:A233,A233)+COUNTIF($B$2:B233,A233)</f>
        <v>15</v>
      </c>
      <c r="H233">
        <f>COUNTIF($A$2:A233,B233)+COUNTIF($B$2:B233,B233)</f>
        <v>15</v>
      </c>
    </row>
    <row r="234" spans="1:8" x14ac:dyDescent="0.35">
      <c r="A234" t="s">
        <v>11</v>
      </c>
      <c r="B234" t="s">
        <v>19</v>
      </c>
      <c r="C234">
        <v>0</v>
      </c>
      <c r="D234">
        <v>17</v>
      </c>
      <c r="E234">
        <f>SIGN(C234-D234)</f>
        <v>-1</v>
      </c>
      <c r="F234">
        <f>SIGN(D234-C234)</f>
        <v>1</v>
      </c>
      <c r="G234">
        <f>COUNTIF($A$2:A234,A234)+COUNTIF($B$2:B234,A234)</f>
        <v>15</v>
      </c>
      <c r="H234">
        <f>COUNTIF($A$2:A234,B234)+COUNTIF($B$2:B234,B234)</f>
        <v>15</v>
      </c>
    </row>
    <row r="235" spans="1:8" x14ac:dyDescent="0.35">
      <c r="A235" t="s">
        <v>20</v>
      </c>
      <c r="B235" t="s">
        <v>9</v>
      </c>
      <c r="C235">
        <v>31</v>
      </c>
      <c r="D235">
        <v>10</v>
      </c>
      <c r="E235">
        <f>SIGN(C235-D235)</f>
        <v>1</v>
      </c>
      <c r="F235">
        <f>SIGN(D235-C235)</f>
        <v>-1</v>
      </c>
      <c r="G235">
        <f>COUNTIF($A$2:A235,A235)+COUNTIF($B$2:B235,A235)</f>
        <v>15</v>
      </c>
      <c r="H235">
        <f>COUNTIF($A$2:A235,B235)+COUNTIF($B$2:B235,B235)</f>
        <v>15</v>
      </c>
    </row>
    <row r="236" spans="1:8" x14ac:dyDescent="0.35">
      <c r="A236" t="s">
        <v>30</v>
      </c>
      <c r="B236" t="s">
        <v>15</v>
      </c>
      <c r="C236">
        <v>15</v>
      </c>
      <c r="D236">
        <v>29</v>
      </c>
      <c r="E236">
        <f>SIGN(C236-D236)</f>
        <v>-1</v>
      </c>
      <c r="F236">
        <f>SIGN(D236-C236)</f>
        <v>1</v>
      </c>
      <c r="G236">
        <f>COUNTIF($A$2:A236,A236)+COUNTIF($B$2:B236,A236)</f>
        <v>15</v>
      </c>
      <c r="H236">
        <f>COUNTIF($A$2:A236,B236)+COUNTIF($B$2:B236,B236)</f>
        <v>15</v>
      </c>
    </row>
    <row r="237" spans="1:8" x14ac:dyDescent="0.35">
      <c r="A237" t="s">
        <v>28</v>
      </c>
      <c r="B237" t="s">
        <v>32</v>
      </c>
      <c r="C237">
        <v>23</v>
      </c>
      <c r="D237">
        <v>9</v>
      </c>
      <c r="E237">
        <f>SIGN(C237-D237)</f>
        <v>1</v>
      </c>
      <c r="F237">
        <f>SIGN(D237-C237)</f>
        <v>-1</v>
      </c>
      <c r="G237">
        <f>COUNTIF($A$2:A237,A237)+COUNTIF($B$2:B237,A237)</f>
        <v>15</v>
      </c>
      <c r="H237">
        <f>COUNTIF($A$2:A237,B237)+COUNTIF($B$2:B237,B237)</f>
        <v>15</v>
      </c>
    </row>
    <row r="238" spans="1:8" x14ac:dyDescent="0.35">
      <c r="A238" t="s">
        <v>6</v>
      </c>
      <c r="B238" t="s">
        <v>35</v>
      </c>
      <c r="C238">
        <v>31</v>
      </c>
      <c r="D238">
        <v>3</v>
      </c>
      <c r="E238">
        <f>SIGN(C238-D238)</f>
        <v>1</v>
      </c>
      <c r="F238">
        <f>SIGN(D238-C238)</f>
        <v>-1</v>
      </c>
      <c r="G238">
        <f>COUNTIF($A$2:A238,A238)+COUNTIF($B$2:B238,A238)</f>
        <v>15</v>
      </c>
      <c r="H238">
        <f>COUNTIF($A$2:A238,B238)+COUNTIF($B$2:B238,B238)</f>
        <v>15</v>
      </c>
    </row>
    <row r="239" spans="1:8" x14ac:dyDescent="0.35">
      <c r="A239" t="s">
        <v>24</v>
      </c>
      <c r="B239" t="s">
        <v>8</v>
      </c>
      <c r="C239">
        <v>48</v>
      </c>
      <c r="D239">
        <v>10</v>
      </c>
      <c r="E239">
        <f>SIGN(C239-D239)</f>
        <v>1</v>
      </c>
      <c r="F239">
        <f>SIGN(D239-C239)</f>
        <v>-1</v>
      </c>
      <c r="G239">
        <f>COUNTIF($A$2:A239,A239)+COUNTIF($B$2:B239,A239)</f>
        <v>15</v>
      </c>
      <c r="H239">
        <f>COUNTIF($A$2:A239,B239)+COUNTIF($B$2:B239,B239)</f>
        <v>15</v>
      </c>
    </row>
    <row r="240" spans="1:8" x14ac:dyDescent="0.35">
      <c r="A240" t="s">
        <v>26</v>
      </c>
      <c r="B240" t="s">
        <v>13</v>
      </c>
      <c r="C240">
        <v>17</v>
      </c>
      <c r="D240">
        <v>10</v>
      </c>
      <c r="E240">
        <f>SIGN(C240-D240)</f>
        <v>1</v>
      </c>
      <c r="F240">
        <f>SIGN(D240-C240)</f>
        <v>-1</v>
      </c>
      <c r="G240">
        <f>COUNTIF($A$2:A240,A240)+COUNTIF($B$2:B240,A240)</f>
        <v>15</v>
      </c>
      <c r="H240">
        <f>COUNTIF($A$2:A240,B240)+COUNTIF($B$2:B240,B240)</f>
        <v>15</v>
      </c>
    </row>
    <row r="241" spans="1:8" x14ac:dyDescent="0.35">
      <c r="A241" t="s">
        <v>25</v>
      </c>
      <c r="B241" t="s">
        <v>29</v>
      </c>
      <c r="C241">
        <v>36</v>
      </c>
      <c r="D241">
        <v>30</v>
      </c>
      <c r="E241">
        <f>SIGN(C241-D241)</f>
        <v>1</v>
      </c>
      <c r="F241">
        <f>SIGN(D241-C241)</f>
        <v>-1</v>
      </c>
      <c r="G241">
        <f>COUNTIF($A$2:A241,A241)+COUNTIF($B$2:B241,A241)</f>
        <v>15</v>
      </c>
      <c r="H241">
        <f>COUNTIF($A$2:A241,B241)+COUNTIF($B$2:B241,B241)</f>
        <v>15</v>
      </c>
    </row>
    <row r="242" spans="1:8" x14ac:dyDescent="0.35">
      <c r="A242" t="s">
        <v>33</v>
      </c>
      <c r="B242" t="s">
        <v>11</v>
      </c>
      <c r="C242">
        <v>23</v>
      </c>
      <c r="D242">
        <v>20</v>
      </c>
      <c r="E242">
        <f>SIGN(C242-D242)</f>
        <v>1</v>
      </c>
      <c r="F242">
        <f>SIGN(D242-C242)</f>
        <v>-1</v>
      </c>
      <c r="G242">
        <f>COUNTIF($A$2:A242,A242)+COUNTIF($B$2:B242,A242)</f>
        <v>16</v>
      </c>
      <c r="H242">
        <f>COUNTIF($A$2:A242,B242)+COUNTIF($B$2:B242,B242)</f>
        <v>16</v>
      </c>
    </row>
    <row r="243" spans="1:8" x14ac:dyDescent="0.35">
      <c r="A243" t="s">
        <v>9</v>
      </c>
      <c r="B243" t="s">
        <v>21</v>
      </c>
      <c r="C243">
        <v>6</v>
      </c>
      <c r="D243">
        <v>28</v>
      </c>
      <c r="E243">
        <f>SIGN(C243-D243)</f>
        <v>-1</v>
      </c>
      <c r="F243">
        <f>SIGN(D243-C243)</f>
        <v>1</v>
      </c>
      <c r="G243">
        <f>COUNTIF($A$2:A243,A243)+COUNTIF($B$2:B243,A243)</f>
        <v>16</v>
      </c>
      <c r="H243">
        <f>COUNTIF($A$2:A243,B243)+COUNTIF($B$2:B243,B243)</f>
        <v>16</v>
      </c>
    </row>
    <row r="244" spans="1:8" x14ac:dyDescent="0.35">
      <c r="A244" t="s">
        <v>32</v>
      </c>
      <c r="B244" t="s">
        <v>12</v>
      </c>
      <c r="C244">
        <v>13</v>
      </c>
      <c r="D244">
        <v>21</v>
      </c>
      <c r="E244">
        <f>SIGN(C244-D244)</f>
        <v>-1</v>
      </c>
      <c r="F244">
        <f>SIGN(D244-C244)</f>
        <v>1</v>
      </c>
      <c r="G244">
        <f>COUNTIF($A$2:A244,A244)+COUNTIF($B$2:B244,A244)</f>
        <v>16</v>
      </c>
      <c r="H244">
        <f>COUNTIF($A$2:A244,B244)+COUNTIF($B$2:B244,B244)</f>
        <v>16</v>
      </c>
    </row>
    <row r="245" spans="1:8" x14ac:dyDescent="0.35">
      <c r="A245" t="s">
        <v>8</v>
      </c>
      <c r="B245" t="s">
        <v>5</v>
      </c>
      <c r="C245">
        <v>13</v>
      </c>
      <c r="D245">
        <v>17</v>
      </c>
      <c r="E245">
        <f>SIGN(C245-D245)</f>
        <v>-1</v>
      </c>
      <c r="F245">
        <f>SIGN(D245-C245)</f>
        <v>1</v>
      </c>
      <c r="G245">
        <f>COUNTIF($A$2:A245,A245)+COUNTIF($B$2:B245,A245)</f>
        <v>16</v>
      </c>
      <c r="H245">
        <f>COUNTIF($A$2:A245,B245)+COUNTIF($B$2:B245,B245)</f>
        <v>16</v>
      </c>
    </row>
    <row r="246" spans="1:8" x14ac:dyDescent="0.35">
      <c r="A246" t="s">
        <v>29</v>
      </c>
      <c r="B246" t="s">
        <v>10</v>
      </c>
      <c r="C246">
        <v>44</v>
      </c>
      <c r="D246">
        <v>7</v>
      </c>
      <c r="E246">
        <f>SIGN(C246-D246)</f>
        <v>1</v>
      </c>
      <c r="F246">
        <f>SIGN(D246-C246)</f>
        <v>-1</v>
      </c>
      <c r="G246">
        <f>COUNTIF($A$2:A246,A246)+COUNTIF($B$2:B246,A246)</f>
        <v>16</v>
      </c>
      <c r="H246">
        <f>COUNTIF($A$2:A246,B246)+COUNTIF($B$2:B246,B246)</f>
        <v>16</v>
      </c>
    </row>
    <row r="247" spans="1:8" x14ac:dyDescent="0.35">
      <c r="A247" t="s">
        <v>7</v>
      </c>
      <c r="B247" t="s">
        <v>4</v>
      </c>
      <c r="C247">
        <v>24</v>
      </c>
      <c r="D247">
        <v>30</v>
      </c>
      <c r="E247">
        <f>SIGN(C247-D247)</f>
        <v>-1</v>
      </c>
      <c r="F247">
        <f>SIGN(D247-C247)</f>
        <v>1</v>
      </c>
      <c r="G247">
        <f>COUNTIF($A$2:A247,A247)+COUNTIF($B$2:B247,A247)</f>
        <v>16</v>
      </c>
      <c r="H247">
        <f>COUNTIF($A$2:A247,B247)+COUNTIF($B$2:B247,B247)</f>
        <v>16</v>
      </c>
    </row>
    <row r="248" spans="1:8" x14ac:dyDescent="0.35">
      <c r="A248" t="s">
        <v>14</v>
      </c>
      <c r="B248" t="s">
        <v>34</v>
      </c>
      <c r="C248">
        <v>34</v>
      </c>
      <c r="D248">
        <v>27</v>
      </c>
      <c r="E248">
        <f>SIGN(C248-D248)</f>
        <v>1</v>
      </c>
      <c r="F248">
        <f>SIGN(D248-C248)</f>
        <v>-1</v>
      </c>
      <c r="G248">
        <f>COUNTIF($A$2:A248,A248)+COUNTIF($B$2:B248,A248)</f>
        <v>16</v>
      </c>
      <c r="H248">
        <f>COUNTIF($A$2:A248,B248)+COUNTIF($B$2:B248,B248)</f>
        <v>16</v>
      </c>
    </row>
    <row r="249" spans="1:8" x14ac:dyDescent="0.35">
      <c r="A249" t="s">
        <v>27</v>
      </c>
      <c r="B249" t="s">
        <v>13</v>
      </c>
      <c r="C249">
        <v>24</v>
      </c>
      <c r="D249">
        <v>44</v>
      </c>
      <c r="E249">
        <f>SIGN(C249-D249)</f>
        <v>-1</v>
      </c>
      <c r="F249">
        <f>SIGN(D249-C249)</f>
        <v>1</v>
      </c>
      <c r="G249">
        <f>COUNTIF($A$2:A249,A249)+COUNTIF($B$2:B249,A249)</f>
        <v>16</v>
      </c>
      <c r="H249">
        <f>COUNTIF($A$2:A249,B249)+COUNTIF($B$2:B249,B249)</f>
        <v>16</v>
      </c>
    </row>
    <row r="250" spans="1:8" x14ac:dyDescent="0.35">
      <c r="A250" t="s">
        <v>19</v>
      </c>
      <c r="B250" t="s">
        <v>23</v>
      </c>
      <c r="C250">
        <v>24</v>
      </c>
      <c r="D250">
        <v>0</v>
      </c>
      <c r="E250">
        <f>SIGN(C250-D250)</f>
        <v>1</v>
      </c>
      <c r="F250">
        <f>SIGN(D250-C250)</f>
        <v>-1</v>
      </c>
      <c r="G250">
        <f>COUNTIF($A$2:A250,A250)+COUNTIF($B$2:B250,A250)</f>
        <v>16</v>
      </c>
      <c r="H250">
        <f>COUNTIF($A$2:A250,B250)+COUNTIF($B$2:B250,B250)</f>
        <v>16</v>
      </c>
    </row>
    <row r="251" spans="1:8" x14ac:dyDescent="0.35">
      <c r="A251" t="s">
        <v>18</v>
      </c>
      <c r="B251" t="s">
        <v>6</v>
      </c>
      <c r="C251">
        <v>10</v>
      </c>
      <c r="D251">
        <v>20</v>
      </c>
      <c r="E251">
        <f>SIGN(C251-D251)</f>
        <v>-1</v>
      </c>
      <c r="F251">
        <f>SIGN(D251-C251)</f>
        <v>1</v>
      </c>
      <c r="G251">
        <f>COUNTIF($A$2:A251,A251)+COUNTIF($B$2:B251,A251)</f>
        <v>16</v>
      </c>
      <c r="H251">
        <f>COUNTIF($A$2:A251,B251)+COUNTIF($B$2:B251,B251)</f>
        <v>16</v>
      </c>
    </row>
    <row r="252" spans="1:8" x14ac:dyDescent="0.35">
      <c r="A252" t="s">
        <v>35</v>
      </c>
      <c r="B252" t="s">
        <v>30</v>
      </c>
      <c r="C252">
        <v>30</v>
      </c>
      <c r="D252">
        <v>7</v>
      </c>
      <c r="E252">
        <f>SIGN(C252-D252)</f>
        <v>1</v>
      </c>
      <c r="F252">
        <f>SIGN(D252-C252)</f>
        <v>-1</v>
      </c>
      <c r="G252">
        <f>COUNTIF($A$2:A252,A252)+COUNTIF($B$2:B252,A252)</f>
        <v>16</v>
      </c>
      <c r="H252">
        <f>COUNTIF($A$2:A252,B252)+COUNTIF($B$2:B252,B252)</f>
        <v>16</v>
      </c>
    </row>
    <row r="253" spans="1:8" x14ac:dyDescent="0.35">
      <c r="A253" t="s">
        <v>22</v>
      </c>
      <c r="B253" t="s">
        <v>16</v>
      </c>
      <c r="C253">
        <v>23</v>
      </c>
      <c r="D253">
        <v>10</v>
      </c>
      <c r="E253">
        <f>SIGN(C253-D253)</f>
        <v>1</v>
      </c>
      <c r="F253">
        <f>SIGN(D253-C253)</f>
        <v>-1</v>
      </c>
      <c r="G253">
        <f>COUNTIF($A$2:A253,A253)+COUNTIF($B$2:B253,A253)</f>
        <v>16</v>
      </c>
      <c r="H253">
        <f>COUNTIF($A$2:A253,B253)+COUNTIF($B$2:B253,B253)</f>
        <v>16</v>
      </c>
    </row>
    <row r="254" spans="1:8" x14ac:dyDescent="0.35">
      <c r="A254" t="s">
        <v>17</v>
      </c>
      <c r="B254" t="s">
        <v>25</v>
      </c>
      <c r="C254">
        <v>23</v>
      </c>
      <c r="D254">
        <v>37</v>
      </c>
      <c r="E254">
        <f>SIGN(C254-D254)</f>
        <v>-1</v>
      </c>
      <c r="F254">
        <f>SIGN(D254-C254)</f>
        <v>1</v>
      </c>
      <c r="G254">
        <f>COUNTIF($A$2:A254,A254)+COUNTIF($B$2:B254,A254)</f>
        <v>16</v>
      </c>
      <c r="H254">
        <f>COUNTIF($A$2:A254,B254)+COUNTIF($B$2:B254,B254)</f>
        <v>16</v>
      </c>
    </row>
    <row r="255" spans="1:8" x14ac:dyDescent="0.35">
      <c r="A255" t="s">
        <v>15</v>
      </c>
      <c r="B255" t="s">
        <v>26</v>
      </c>
      <c r="C255">
        <v>37</v>
      </c>
      <c r="D255">
        <v>0</v>
      </c>
      <c r="E255">
        <f>SIGN(C255-D255)</f>
        <v>1</v>
      </c>
      <c r="F255">
        <f>SIGN(D255-C255)</f>
        <v>-1</v>
      </c>
      <c r="G255">
        <f>COUNTIF($A$2:A255,A255)+COUNTIF($B$2:B255,A255)</f>
        <v>16</v>
      </c>
      <c r="H255">
        <f>COUNTIF($A$2:A255,B255)+COUNTIF($B$2:B255,B255)</f>
        <v>16</v>
      </c>
    </row>
    <row r="256" spans="1:8" x14ac:dyDescent="0.35">
      <c r="A256" t="s">
        <v>28</v>
      </c>
      <c r="B256" t="s">
        <v>31</v>
      </c>
      <c r="C256">
        <v>23</v>
      </c>
      <c r="D256">
        <v>17</v>
      </c>
      <c r="E256">
        <f>SIGN(C256-D256)</f>
        <v>1</v>
      </c>
      <c r="F256">
        <f>SIGN(D256-C256)</f>
        <v>-1</v>
      </c>
      <c r="G256">
        <f>COUNTIF($A$2:A256,A256)+COUNTIF($B$2:B256,A256)</f>
        <v>16</v>
      </c>
      <c r="H256">
        <f>COUNTIF($A$2:A256,B256)+COUNTIF($B$2:B256,B256)</f>
        <v>16</v>
      </c>
    </row>
    <row r="257" spans="1:8" x14ac:dyDescent="0.35">
      <c r="A257" t="s">
        <v>20</v>
      </c>
      <c r="B257" t="s">
        <v>24</v>
      </c>
      <c r="C257">
        <v>7</v>
      </c>
      <c r="D257">
        <v>33</v>
      </c>
      <c r="E257">
        <f>SIGN(C257-D257)</f>
        <v>-1</v>
      </c>
      <c r="F257">
        <f>SIGN(D257-C257)</f>
        <v>1</v>
      </c>
      <c r="G257">
        <f>COUNTIF($A$2:A257,A257)+COUNTIF($B$2:B257,A257)</f>
        <v>16</v>
      </c>
      <c r="H257">
        <f>COUNTIF($A$2:A257,B257)+COUNTIF($B$2:B257,B257)</f>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39"/>
  <sheetViews>
    <sheetView zoomScale="120" zoomScaleNormal="120" workbookViewId="0">
      <pane ySplit="1" topLeftCell="A2" activePane="bottomLeft" state="frozen"/>
      <selection pane="bottomLeft" activeCell="A2" sqref="A2"/>
    </sheetView>
  </sheetViews>
  <sheetFormatPr defaultRowHeight="14.5"/>
  <cols>
    <col min="1" max="1" width="22.7265625" customWidth="1"/>
    <col min="2" max="17" width="3.7265625" customWidth="1"/>
    <col min="18" max="18" width="26.7265625" customWidth="1"/>
    <col min="19" max="20" width="8.26953125" customWidth="1"/>
  </cols>
  <sheetData>
    <row r="1" ht="30" customHeight="1">
      <c r="A1" s="6" t="inlineStr">
        <is>
          <t>Team</t>
        </is>
      </c>
      <c r="B1" s="3">
        <v>1</v>
      </c>
      <c r="C1" s="3">
        <v>2</v>
      </c>
      <c r="D1" s="3">
        <v>3</v>
      </c>
      <c r="E1" s="3">
        <v>4</v>
      </c>
      <c r="F1" s="3">
        <v>5</v>
      </c>
      <c r="G1" s="3">
        <v>6</v>
      </c>
      <c r="H1" s="3">
        <v>7</v>
      </c>
      <c r="I1" s="3">
        <v>8</v>
      </c>
      <c r="J1" s="3">
        <v>9</v>
      </c>
      <c r="K1" s="3">
        <v>10</v>
      </c>
      <c r="L1" s="3">
        <v>11</v>
      </c>
      <c r="M1" s="3">
        <v>12</v>
      </c>
      <c r="N1" s="3">
        <v>13</v>
      </c>
      <c r="O1" s="3">
        <v>14</v>
      </c>
      <c r="P1" s="3">
        <v>15</v>
      </c>
      <c r="Q1" s="3">
        <v>16</v>
      </c>
      <c r="R1" s="3" t="inlineStr">
        <is>
          <t>Season (blue = win, red = loss)</t>
        </is>
      </c>
      <c r="S1" s="3" t="inlineStr">
        <is>
          <t>Wins</t>
        </is>
      </c>
      <c r="T1" s="3" t="inlineStr">
        <is>
          <t>Losses</t>
        </is>
      </c>
    </row>
    <row r="2">
      <c r="A2" t="inlineStr">
        <is>
          <t>Arizona Cardinals</t>
        </is>
      </c>
      <c r="B2" s="4">
        <f>SUMPRODUCT((data!$A$2:$A$257=$A2)*(data!$G$2:$G$257=B$1)*data!$E$2:$E$257)+SUMPRODUCT((data!$B$2:$B$257=$A2)*(data!$H$2:$H$257=B$1)*data!$F$2:$F$257)</f>
        <v>-1</v>
      </c>
      <c r="C2" s="4">
        <f>SUMPRODUCT((data!$A$2:$A$257=$A2)*(data!$G$2:$G$257=C$1)*data!$E$2:$E$257)+SUMPRODUCT((data!$B$2:$B$257=$A2)*(data!$H$2:$H$257=C$1)*data!$F$2:$F$257)</f>
        <v>1</v>
      </c>
      <c r="D2" s="4">
        <f>SUMPRODUCT((data!$A$2:$A$257=$A2)*(data!$G$2:$G$257=D$1)*data!$E$2:$E$257)+SUMPRODUCT((data!$B$2:$B$257=$A2)*(data!$H$2:$H$257=D$1)*data!$F$2:$F$257)</f>
        <v>-1</v>
      </c>
      <c r="E2" s="4">
        <f>SUMPRODUCT((data!$A$2:$A$257=$A2)*(data!$G$2:$G$257=E$1)*data!$E$2:$E$257)+SUMPRODUCT((data!$B$2:$B$257=$A2)*(data!$H$2:$H$257=E$1)*data!$F$2:$F$257)</f>
        <v>1</v>
      </c>
      <c r="F2" s="4">
        <f>SUMPRODUCT((data!$A$2:$A$257=$A2)*(data!$G$2:$G$257=F$1)*data!$E$2:$E$257)+SUMPRODUCT((data!$B$2:$B$257=$A2)*(data!$H$2:$H$257=F$1)*data!$F$2:$F$257)</f>
        <v>1</v>
      </c>
      <c r="G2" s="4">
        <f>SUMPRODUCT((data!$A$2:$A$257=$A2)*(data!$G$2:$G$257=G$1)*data!$E$2:$E$257)+SUMPRODUCT((data!$B$2:$B$257=$A2)*(data!$H$2:$H$257=G$1)*data!$F$2:$F$257)</f>
        <v>1</v>
      </c>
      <c r="H2" s="4">
        <f>SUMPRODUCT((data!$A$2:$A$257=$A2)*(data!$G$2:$G$257=H$1)*data!$E$2:$E$257)+SUMPRODUCT((data!$B$2:$B$257=$A2)*(data!$H$2:$H$257=H$1)*data!$F$2:$F$257)</f>
        <v>-1</v>
      </c>
      <c r="I2" s="4">
        <f>SUMPRODUCT((data!$A$2:$A$257=$A2)*(data!$G$2:$G$257=I$1)*data!$E$2:$E$257)+SUMPRODUCT((data!$B$2:$B$257=$A2)*(data!$H$2:$H$257=I$1)*data!$F$2:$F$257)</f>
        <v>1</v>
      </c>
      <c r="J2" s="4">
        <f>SUMPRODUCT((data!$A$2:$A$257=$A2)*(data!$G$2:$G$257=J$1)*data!$E$2:$E$257)+SUMPRODUCT((data!$B$2:$B$257=$A2)*(data!$H$2:$H$257=J$1)*data!$F$2:$F$257)</f>
        <v>1</v>
      </c>
      <c r="K2" s="4">
        <f>SUMPRODUCT((data!$A$2:$A$257=$A2)*(data!$G$2:$G$257=K$1)*data!$E$2:$E$257)+SUMPRODUCT((data!$B$2:$B$257=$A2)*(data!$H$2:$H$257=K$1)*data!$F$2:$F$257)</f>
        <v>1</v>
      </c>
      <c r="L2" s="4">
        <f>SUMPRODUCT((data!$A$2:$A$257=$A2)*(data!$G$2:$G$257=L$1)*data!$E$2:$E$257)+SUMPRODUCT((data!$B$2:$B$257=$A2)*(data!$H$2:$H$257=L$1)*data!$F$2:$F$257)</f>
        <v>-1</v>
      </c>
      <c r="M2" s="4">
        <f>SUMPRODUCT((data!$A$2:$A$257=$A2)*(data!$G$2:$G$257=M$1)*data!$E$2:$E$257)+SUMPRODUCT((data!$B$2:$B$257=$A2)*(data!$H$2:$H$257=M$1)*data!$F$2:$F$257)</f>
        <v>1</v>
      </c>
      <c r="N2" s="4">
        <f>SUMPRODUCT((data!$A$2:$A$257=$A2)*(data!$G$2:$G$257=N$1)*data!$E$2:$E$257)+SUMPRODUCT((data!$B$2:$B$257=$A2)*(data!$H$2:$H$257=N$1)*data!$F$2:$F$257)</f>
        <v>-1</v>
      </c>
      <c r="O2" s="4">
        <f>SUMPRODUCT((data!$A$2:$A$257=$A2)*(data!$G$2:$G$257=O$1)*data!$E$2:$E$257)+SUMPRODUCT((data!$B$2:$B$257=$A2)*(data!$H$2:$H$257=O$1)*data!$F$2:$F$257)</f>
        <v>1</v>
      </c>
      <c r="P2" s="4">
        <f>SUMPRODUCT((data!$A$2:$A$257=$A2)*(data!$G$2:$G$257=P$1)*data!$E$2:$E$257)+SUMPRODUCT((data!$B$2:$B$257=$A2)*(data!$H$2:$H$257=P$1)*data!$F$2:$F$257)</f>
        <v>1</v>
      </c>
      <c r="Q2" s="4">
        <f>SUMPRODUCT((data!$A$2:$A$257=$A2)*(data!$G$2:$G$257=Q$1)*data!$E$2:$E$257)+SUMPRODUCT((data!$B$2:$B$257=$A2)*(data!$H$2:$H$257=Q$1)*data!$F$2:$F$257)</f>
        <v>-1</v>
      </c>
      <c r="S2">
        <f>COUNTIF(B2:Q2,1)</f>
        <v>10</v>
      </c>
      <c r="T2">
        <f>COUNTIF(B2:Q2,-1)</f>
        <v>6</v>
      </c>
    </row>
    <row r="3">
      <c r="A3" t="inlineStr">
        <is>
          <t>Atlanta Falcons</t>
        </is>
      </c>
      <c r="B3" s="4">
        <f>SUMPRODUCT((data!$A$2:$A$257=$A3)*(data!$G$2:$G$257=B$1)*data!$E$2:$E$257)+SUMPRODUCT((data!$B$2:$B$257=$A3)*(data!$H$2:$H$257=B$1)*data!$F$2:$F$257)</f>
        <v>1</v>
      </c>
      <c r="C3" s="4">
        <f>SUMPRODUCT((data!$A$2:$A$257=$A3)*(data!$G$2:$G$257=C$1)*data!$E$2:$E$257)+SUMPRODUCT((data!$B$2:$B$257=$A3)*(data!$H$2:$H$257=C$1)*data!$F$2:$F$257)</f>
        <v>1</v>
      </c>
      <c r="D3" s="4">
        <f>SUMPRODUCT((data!$A$2:$A$257=$A3)*(data!$G$2:$G$257=D$1)*data!$E$2:$E$257)+SUMPRODUCT((data!$B$2:$B$257=$A3)*(data!$H$2:$H$257=D$1)*data!$F$2:$F$257)</f>
        <v>-1</v>
      </c>
      <c r="E3" s="4">
        <f>SUMPRODUCT((data!$A$2:$A$257=$A3)*(data!$G$2:$G$257=E$1)*data!$E$2:$E$257)+SUMPRODUCT((data!$B$2:$B$257=$A3)*(data!$H$2:$H$257=E$1)*data!$F$2:$F$257)</f>
        <v>1</v>
      </c>
      <c r="F3" s="4">
        <f>SUMPRODUCT((data!$A$2:$A$257=$A3)*(data!$G$2:$G$257=F$1)*data!$E$2:$E$257)+SUMPRODUCT((data!$B$2:$B$257=$A3)*(data!$H$2:$H$257=F$1)*data!$F$2:$F$257)</f>
        <v>1</v>
      </c>
      <c r="G3" s="4">
        <f>SUMPRODUCT((data!$A$2:$A$257=$A3)*(data!$G$2:$G$257=G$1)*data!$E$2:$E$257)+SUMPRODUCT((data!$B$2:$B$257=$A3)*(data!$H$2:$H$257=G$1)*data!$F$2:$F$257)</f>
        <v>-1</v>
      </c>
      <c r="H3" s="4">
        <f>SUMPRODUCT((data!$A$2:$A$257=$A3)*(data!$G$2:$G$257=H$1)*data!$E$2:$E$257)+SUMPRODUCT((data!$B$2:$B$257=$A3)*(data!$H$2:$H$257=H$1)*data!$F$2:$F$257)</f>
        <v>-1</v>
      </c>
      <c r="I3" s="4">
        <f>SUMPRODUCT((data!$A$2:$A$257=$A3)*(data!$G$2:$G$257=I$1)*data!$E$2:$E$257)+SUMPRODUCT((data!$B$2:$B$257=$A3)*(data!$H$2:$H$257=I$1)*data!$F$2:$F$257)</f>
        <v>1</v>
      </c>
      <c r="J3" s="4">
        <f>SUMPRODUCT((data!$A$2:$A$257=$A3)*(data!$G$2:$G$257=J$1)*data!$E$2:$E$257)+SUMPRODUCT((data!$B$2:$B$257=$A3)*(data!$H$2:$H$257=J$1)*data!$F$2:$F$257)</f>
        <v>-1</v>
      </c>
      <c r="K3" s="4">
        <f>SUMPRODUCT((data!$A$2:$A$257=$A3)*(data!$G$2:$G$257=K$1)*data!$E$2:$E$257)+SUMPRODUCT((data!$B$2:$B$257=$A3)*(data!$H$2:$H$257=K$1)*data!$F$2:$F$257)</f>
        <v>-1</v>
      </c>
      <c r="L3" s="4">
        <f>SUMPRODUCT((data!$A$2:$A$257=$A3)*(data!$G$2:$G$257=L$1)*data!$E$2:$E$257)+SUMPRODUCT((data!$B$2:$B$257=$A3)*(data!$H$2:$H$257=L$1)*data!$F$2:$F$257)</f>
        <v>1</v>
      </c>
      <c r="M3" s="4">
        <f>SUMPRODUCT((data!$A$2:$A$257=$A3)*(data!$G$2:$G$257=M$1)*data!$E$2:$E$257)+SUMPRODUCT((data!$B$2:$B$257=$A3)*(data!$H$2:$H$257=M$1)*data!$F$2:$F$257)</f>
        <v>-1</v>
      </c>
      <c r="N3" s="4">
        <f>SUMPRODUCT((data!$A$2:$A$257=$A3)*(data!$G$2:$G$257=N$1)*data!$E$2:$E$257)+SUMPRODUCT((data!$B$2:$B$257=$A3)*(data!$H$2:$H$257=N$1)*data!$F$2:$F$257)</f>
        <v>-1</v>
      </c>
      <c r="O3" s="4">
        <f>SUMPRODUCT((data!$A$2:$A$257=$A3)*(data!$G$2:$G$257=O$1)*data!$E$2:$E$257)+SUMPRODUCT((data!$B$2:$B$257=$A3)*(data!$H$2:$H$257=O$1)*data!$F$2:$F$257)</f>
        <v>1</v>
      </c>
      <c r="P3" s="4">
        <f>SUMPRODUCT((data!$A$2:$A$257=$A3)*(data!$G$2:$G$257=P$1)*data!$E$2:$E$257)+SUMPRODUCT((data!$B$2:$B$257=$A3)*(data!$H$2:$H$257=P$1)*data!$F$2:$F$257)</f>
        <v>1</v>
      </c>
      <c r="Q3" s="4">
        <f>SUMPRODUCT((data!$A$2:$A$257=$A3)*(data!$G$2:$G$257=Q$1)*data!$E$2:$E$257)+SUMPRODUCT((data!$B$2:$B$257=$A3)*(data!$H$2:$H$257=Q$1)*data!$F$2:$F$257)</f>
        <v>1</v>
      </c>
      <c r="S3">
        <f>COUNTIF(B3:Q3,1)</f>
        <v>9</v>
      </c>
      <c r="T3">
        <f>COUNTIF(B3:Q3,-1)</f>
        <v>7</v>
      </c>
    </row>
    <row r="4">
      <c r="A4" t="inlineStr">
        <is>
          <t>Baltimore Ravens</t>
        </is>
      </c>
      <c r="B4" s="4">
        <f>SUMPRODUCT((data!$A$2:$A$257=$A4)*(data!$G$2:$G$257=B$1)*data!$E$2:$E$257)+SUMPRODUCT((data!$B$2:$B$257=$A4)*(data!$H$2:$H$257=B$1)*data!$F$2:$F$257)</f>
        <v>1</v>
      </c>
      <c r="C4" s="4">
        <f>SUMPRODUCT((data!$A$2:$A$257=$A4)*(data!$G$2:$G$257=C$1)*data!$E$2:$E$257)+SUMPRODUCT((data!$B$2:$B$257=$A4)*(data!$H$2:$H$257=C$1)*data!$F$2:$F$257)</f>
        <v>1</v>
      </c>
      <c r="D4" s="4">
        <f>SUMPRODUCT((data!$A$2:$A$257=$A4)*(data!$G$2:$G$257=D$1)*data!$E$2:$E$257)+SUMPRODUCT((data!$B$2:$B$257=$A4)*(data!$H$2:$H$257=D$1)*data!$F$2:$F$257)</f>
        <v>1</v>
      </c>
      <c r="E4" s="4">
        <f>SUMPRODUCT((data!$A$2:$A$257=$A4)*(data!$G$2:$G$257=E$1)*data!$E$2:$E$257)+SUMPRODUCT((data!$B$2:$B$257=$A4)*(data!$H$2:$H$257=E$1)*data!$F$2:$F$257)</f>
        <v>-1</v>
      </c>
      <c r="F4" s="4">
        <f>SUMPRODUCT((data!$A$2:$A$257=$A4)*(data!$G$2:$G$257=F$1)*data!$E$2:$E$257)+SUMPRODUCT((data!$B$2:$B$257=$A4)*(data!$H$2:$H$257=F$1)*data!$F$2:$F$257)</f>
        <v>-1</v>
      </c>
      <c r="G4" s="4">
        <f>SUMPRODUCT((data!$A$2:$A$257=$A4)*(data!$G$2:$G$257=G$1)*data!$E$2:$E$257)+SUMPRODUCT((data!$B$2:$B$257=$A4)*(data!$H$2:$H$257=G$1)*data!$F$2:$F$257)</f>
        <v>-1</v>
      </c>
      <c r="H4" s="4">
        <f>SUMPRODUCT((data!$A$2:$A$257=$A4)*(data!$G$2:$G$257=H$1)*data!$E$2:$E$257)+SUMPRODUCT((data!$B$2:$B$257=$A4)*(data!$H$2:$H$257=H$1)*data!$F$2:$F$257)</f>
        <v>1</v>
      </c>
      <c r="I4" s="4">
        <f>SUMPRODUCT((data!$A$2:$A$257=$A4)*(data!$G$2:$G$257=I$1)*data!$E$2:$E$257)+SUMPRODUCT((data!$B$2:$B$257=$A4)*(data!$H$2:$H$257=I$1)*data!$F$2:$F$257)</f>
        <v>-1</v>
      </c>
      <c r="J4" s="4">
        <f>SUMPRODUCT((data!$A$2:$A$257=$A4)*(data!$G$2:$G$257=J$1)*data!$E$2:$E$257)+SUMPRODUCT((data!$B$2:$B$257=$A4)*(data!$H$2:$H$257=J$1)*data!$F$2:$F$257)</f>
        <v>1</v>
      </c>
      <c r="K4" s="4">
        <f>SUMPRODUCT((data!$A$2:$A$257=$A4)*(data!$G$2:$G$257=K$1)*data!$E$2:$E$257)+SUMPRODUCT((data!$B$2:$B$257=$A4)*(data!$H$2:$H$257=K$1)*data!$F$2:$F$257)</f>
        <v>-1</v>
      </c>
      <c r="L4" s="4">
        <f>SUMPRODUCT((data!$A$2:$A$257=$A4)*(data!$G$2:$G$257=L$1)*data!$E$2:$E$257)+SUMPRODUCT((data!$B$2:$B$257=$A4)*(data!$H$2:$H$257=L$1)*data!$F$2:$F$257)</f>
        <v>1</v>
      </c>
      <c r="M4" s="4">
        <f>SUMPRODUCT((data!$A$2:$A$257=$A4)*(data!$G$2:$G$257=M$1)*data!$E$2:$E$257)+SUMPRODUCT((data!$B$2:$B$257=$A4)*(data!$H$2:$H$257=M$1)*data!$F$2:$F$257)</f>
        <v>-1</v>
      </c>
      <c r="N4" s="4">
        <f>SUMPRODUCT((data!$A$2:$A$257=$A4)*(data!$G$2:$G$257=N$1)*data!$E$2:$E$257)+SUMPRODUCT((data!$B$2:$B$257=$A4)*(data!$H$2:$H$257=N$1)*data!$F$2:$F$257)</f>
        <v>1</v>
      </c>
      <c r="O4" s="4">
        <f>SUMPRODUCT((data!$A$2:$A$257=$A4)*(data!$G$2:$G$257=O$1)*data!$E$2:$E$257)+SUMPRODUCT((data!$B$2:$B$257=$A4)*(data!$H$2:$H$257=O$1)*data!$F$2:$F$257)</f>
        <v>1</v>
      </c>
      <c r="P4" s="4">
        <f>SUMPRODUCT((data!$A$2:$A$257=$A4)*(data!$G$2:$G$257=P$1)*data!$E$2:$E$257)+SUMPRODUCT((data!$B$2:$B$257=$A4)*(data!$H$2:$H$257=P$1)*data!$F$2:$F$257)</f>
        <v>-1</v>
      </c>
      <c r="Q4" s="4">
        <f>SUMPRODUCT((data!$A$2:$A$257=$A4)*(data!$G$2:$G$257=Q$1)*data!$E$2:$E$257)+SUMPRODUCT((data!$B$2:$B$257=$A4)*(data!$H$2:$H$257=Q$1)*data!$F$2:$F$257)</f>
        <v>1</v>
      </c>
      <c r="S4">
        <f>COUNTIF(B4:Q4,1)</f>
        <v>9</v>
      </c>
      <c r="T4">
        <f>COUNTIF(B4:Q4,-1)</f>
        <v>7</v>
      </c>
    </row>
    <row r="5">
      <c r="A5" t="inlineStr">
        <is>
          <t>Buffalo Bills</t>
        </is>
      </c>
      <c r="B5" s="4">
        <f>SUMPRODUCT((data!$A$2:$A$257=$A5)*(data!$G$2:$G$257=B$1)*data!$E$2:$E$257)+SUMPRODUCT((data!$B$2:$B$257=$A5)*(data!$H$2:$H$257=B$1)*data!$F$2:$F$257)</f>
        <v>-1</v>
      </c>
      <c r="C5" s="4">
        <f>SUMPRODUCT((data!$A$2:$A$257=$A5)*(data!$G$2:$G$257=C$1)*data!$E$2:$E$257)+SUMPRODUCT((data!$B$2:$B$257=$A5)*(data!$H$2:$H$257=C$1)*data!$F$2:$F$257)</f>
        <v>1</v>
      </c>
      <c r="D5" s="4">
        <f>SUMPRODUCT((data!$A$2:$A$257=$A5)*(data!$G$2:$G$257=D$1)*data!$E$2:$E$257)+SUMPRODUCT((data!$B$2:$B$257=$A5)*(data!$H$2:$H$257=D$1)*data!$F$2:$F$257)</f>
        <v>-1</v>
      </c>
      <c r="E5" s="4">
        <f>SUMPRODUCT((data!$A$2:$A$257=$A5)*(data!$G$2:$G$257=E$1)*data!$E$2:$E$257)+SUMPRODUCT((data!$B$2:$B$257=$A5)*(data!$H$2:$H$257=E$1)*data!$F$2:$F$257)</f>
        <v>-1</v>
      </c>
      <c r="F5" s="4">
        <f>SUMPRODUCT((data!$A$2:$A$257=$A5)*(data!$G$2:$G$257=F$1)*data!$E$2:$E$257)+SUMPRODUCT((data!$B$2:$B$257=$A5)*(data!$H$2:$H$257=F$1)*data!$F$2:$F$257)</f>
        <v>-1</v>
      </c>
      <c r="G5" s="4">
        <f>SUMPRODUCT((data!$A$2:$A$257=$A5)*(data!$G$2:$G$257=G$1)*data!$E$2:$E$257)+SUMPRODUCT((data!$B$2:$B$257=$A5)*(data!$H$2:$H$257=G$1)*data!$F$2:$F$257)</f>
        <v>1</v>
      </c>
      <c r="H5" s="4">
        <f>SUMPRODUCT((data!$A$2:$A$257=$A5)*(data!$G$2:$G$257=H$1)*data!$E$2:$E$257)+SUMPRODUCT((data!$B$2:$B$257=$A5)*(data!$H$2:$H$257=H$1)*data!$F$2:$F$257)</f>
        <v>1</v>
      </c>
      <c r="I5" s="4">
        <f>SUMPRODUCT((data!$A$2:$A$257=$A5)*(data!$G$2:$G$257=I$1)*data!$E$2:$E$257)+SUMPRODUCT((data!$B$2:$B$257=$A5)*(data!$H$2:$H$257=I$1)*data!$F$2:$F$257)</f>
        <v>-1</v>
      </c>
      <c r="J5" s="4">
        <f>SUMPRODUCT((data!$A$2:$A$257=$A5)*(data!$G$2:$G$257=J$1)*data!$E$2:$E$257)+SUMPRODUCT((data!$B$2:$B$257=$A5)*(data!$H$2:$H$257=J$1)*data!$F$2:$F$257)</f>
        <v>-1</v>
      </c>
      <c r="K5" s="4">
        <f>SUMPRODUCT((data!$A$2:$A$257=$A5)*(data!$G$2:$G$257=K$1)*data!$E$2:$E$257)+SUMPRODUCT((data!$B$2:$B$257=$A5)*(data!$H$2:$H$257=K$1)*data!$F$2:$F$257)</f>
        <v>-1</v>
      </c>
      <c r="L5" s="4">
        <f>SUMPRODUCT((data!$A$2:$A$257=$A5)*(data!$G$2:$G$257=L$1)*data!$E$2:$E$257)+SUMPRODUCT((data!$B$2:$B$257=$A5)*(data!$H$2:$H$257=L$1)*data!$F$2:$F$257)</f>
        <v>1</v>
      </c>
      <c r="M5" s="4">
        <f>SUMPRODUCT((data!$A$2:$A$257=$A5)*(data!$G$2:$G$257=M$1)*data!$E$2:$E$257)+SUMPRODUCT((data!$B$2:$B$257=$A5)*(data!$H$2:$H$257=M$1)*data!$F$2:$F$257)</f>
        <v>-1</v>
      </c>
      <c r="N5" s="4">
        <f>SUMPRODUCT((data!$A$2:$A$257=$A5)*(data!$G$2:$G$257=N$1)*data!$E$2:$E$257)+SUMPRODUCT((data!$B$2:$B$257=$A5)*(data!$H$2:$H$257=N$1)*data!$F$2:$F$257)</f>
        <v>1</v>
      </c>
      <c r="O5" s="4">
        <f>SUMPRODUCT((data!$A$2:$A$257=$A5)*(data!$G$2:$G$257=O$1)*data!$E$2:$E$257)+SUMPRODUCT((data!$B$2:$B$257=$A5)*(data!$H$2:$H$257=O$1)*data!$F$2:$F$257)</f>
        <v>-1</v>
      </c>
      <c r="P5" s="4">
        <f>SUMPRODUCT((data!$A$2:$A$257=$A5)*(data!$G$2:$G$257=P$1)*data!$E$2:$E$257)+SUMPRODUCT((data!$B$2:$B$257=$A5)*(data!$H$2:$H$257=P$1)*data!$F$2:$F$257)</f>
        <v>-1</v>
      </c>
      <c r="Q5" s="4">
        <f>SUMPRODUCT((data!$A$2:$A$257=$A5)*(data!$G$2:$G$257=Q$1)*data!$E$2:$E$257)+SUMPRODUCT((data!$B$2:$B$257=$A5)*(data!$H$2:$H$257=Q$1)*data!$F$2:$F$257)</f>
        <v>1</v>
      </c>
      <c r="S5">
        <f>COUNTIF(B5:Q5,1)</f>
        <v>6</v>
      </c>
      <c r="T5">
        <f>COUNTIF(B5:Q5,-1)</f>
        <v>10</v>
      </c>
    </row>
    <row r="6">
      <c r="A6" t="inlineStr">
        <is>
          <t>Carolina Panthers</t>
        </is>
      </c>
      <c r="B6" s="4">
        <f>SUMPRODUCT((data!$A$2:$A$257=$A6)*(data!$G$2:$G$257=B$1)*data!$E$2:$E$257)+SUMPRODUCT((data!$B$2:$B$257=$A6)*(data!$H$2:$H$257=B$1)*data!$F$2:$F$257)</f>
        <v>-1</v>
      </c>
      <c r="C6" s="4">
        <f>SUMPRODUCT((data!$A$2:$A$257=$A6)*(data!$G$2:$G$257=C$1)*data!$E$2:$E$257)+SUMPRODUCT((data!$B$2:$B$257=$A6)*(data!$H$2:$H$257=C$1)*data!$F$2:$F$257)</f>
        <v>-1</v>
      </c>
      <c r="D6" s="4">
        <f>SUMPRODUCT((data!$A$2:$A$257=$A6)*(data!$G$2:$G$257=D$1)*data!$E$2:$E$257)+SUMPRODUCT((data!$B$2:$B$257=$A6)*(data!$H$2:$H$257=D$1)*data!$F$2:$F$257)</f>
        <v>-1</v>
      </c>
      <c r="E6" s="4">
        <f>SUMPRODUCT((data!$A$2:$A$257=$A6)*(data!$G$2:$G$257=E$1)*data!$E$2:$E$257)+SUMPRODUCT((data!$B$2:$B$257=$A6)*(data!$H$2:$H$257=E$1)*data!$F$2:$F$257)</f>
        <v>1</v>
      </c>
      <c r="F6" s="4">
        <f>SUMPRODUCT((data!$A$2:$A$257=$A6)*(data!$G$2:$G$257=F$1)*data!$E$2:$E$257)+SUMPRODUCT((data!$B$2:$B$257=$A6)*(data!$H$2:$H$257=F$1)*data!$F$2:$F$257)</f>
        <v>1</v>
      </c>
      <c r="G6" s="4">
        <f>SUMPRODUCT((data!$A$2:$A$257=$A6)*(data!$G$2:$G$257=G$1)*data!$E$2:$E$257)+SUMPRODUCT((data!$B$2:$B$257=$A6)*(data!$H$2:$H$257=G$1)*data!$F$2:$F$257)</f>
        <v>-1</v>
      </c>
      <c r="H6" s="4">
        <f>SUMPRODUCT((data!$A$2:$A$257=$A6)*(data!$G$2:$G$257=H$1)*data!$E$2:$E$257)+SUMPRODUCT((data!$B$2:$B$257=$A6)*(data!$H$2:$H$257=H$1)*data!$F$2:$F$257)</f>
        <v>1</v>
      </c>
      <c r="I6" s="4">
        <f>SUMPRODUCT((data!$A$2:$A$257=$A6)*(data!$G$2:$G$257=I$1)*data!$E$2:$E$257)+SUMPRODUCT((data!$B$2:$B$257=$A6)*(data!$H$2:$H$257=I$1)*data!$F$2:$F$257)</f>
        <v>-1</v>
      </c>
      <c r="J6" s="4">
        <f>SUMPRODUCT((data!$A$2:$A$257=$A6)*(data!$G$2:$G$257=J$1)*data!$E$2:$E$257)+SUMPRODUCT((data!$B$2:$B$257=$A6)*(data!$H$2:$H$257=J$1)*data!$F$2:$F$257)</f>
        <v>1</v>
      </c>
      <c r="K6" s="4">
        <f>SUMPRODUCT((data!$A$2:$A$257=$A6)*(data!$G$2:$G$257=K$1)*data!$E$2:$E$257)+SUMPRODUCT((data!$B$2:$B$257=$A6)*(data!$H$2:$H$257=K$1)*data!$F$2:$F$257)</f>
        <v>-1</v>
      </c>
      <c r="L6" s="4">
        <f>SUMPRODUCT((data!$A$2:$A$257=$A6)*(data!$G$2:$G$257=L$1)*data!$E$2:$E$257)+SUMPRODUCT((data!$B$2:$B$257=$A6)*(data!$H$2:$H$257=L$1)*data!$F$2:$F$257)</f>
        <v>-1</v>
      </c>
      <c r="M6" s="4">
        <f>SUMPRODUCT((data!$A$2:$A$257=$A6)*(data!$G$2:$G$257=M$1)*data!$E$2:$E$257)+SUMPRODUCT((data!$B$2:$B$257=$A6)*(data!$H$2:$H$257=M$1)*data!$F$2:$F$257)</f>
        <v>1</v>
      </c>
      <c r="N6" s="4">
        <f>SUMPRODUCT((data!$A$2:$A$257=$A6)*(data!$G$2:$G$257=N$1)*data!$E$2:$E$257)+SUMPRODUCT((data!$B$2:$B$257=$A6)*(data!$H$2:$H$257=N$1)*data!$F$2:$F$257)</f>
        <v>-1</v>
      </c>
      <c r="O6" s="4">
        <f>SUMPRODUCT((data!$A$2:$A$257=$A6)*(data!$G$2:$G$257=O$1)*data!$E$2:$E$257)+SUMPRODUCT((data!$B$2:$B$257=$A6)*(data!$H$2:$H$257=O$1)*data!$F$2:$F$257)</f>
        <v>1</v>
      </c>
      <c r="P6" s="4">
        <f>SUMPRODUCT((data!$A$2:$A$257=$A6)*(data!$G$2:$G$257=P$1)*data!$E$2:$E$257)+SUMPRODUCT((data!$B$2:$B$257=$A6)*(data!$H$2:$H$257=P$1)*data!$F$2:$F$257)</f>
        <v>1</v>
      </c>
      <c r="Q6" s="4">
        <f>SUMPRODUCT((data!$A$2:$A$257=$A6)*(data!$G$2:$G$257=Q$1)*data!$E$2:$E$257)+SUMPRODUCT((data!$B$2:$B$257=$A6)*(data!$H$2:$H$257=Q$1)*data!$F$2:$F$257)</f>
        <v>1</v>
      </c>
      <c r="S6">
        <f>COUNTIF(B6:Q6,1)</f>
        <v>8</v>
      </c>
      <c r="T6">
        <f>COUNTIF(B6:Q6,-1)</f>
        <v>8</v>
      </c>
    </row>
    <row r="7">
      <c r="A7" t="inlineStr">
        <is>
          <t>Chicago Bears</t>
        </is>
      </c>
      <c r="B7" s="4">
        <f>SUMPRODUCT((data!$A$2:$A$257=$A7)*(data!$G$2:$G$257=B$1)*data!$E$2:$E$257)+SUMPRODUCT((data!$B$2:$B$257=$A7)*(data!$H$2:$H$257=B$1)*data!$F$2:$F$257)</f>
        <v>-1</v>
      </c>
      <c r="C7" s="4">
        <f>SUMPRODUCT((data!$A$2:$A$257=$A7)*(data!$G$2:$G$257=C$1)*data!$E$2:$E$257)+SUMPRODUCT((data!$B$2:$B$257=$A7)*(data!$H$2:$H$257=C$1)*data!$F$2:$F$257)</f>
        <v>1</v>
      </c>
      <c r="D7" s="4">
        <f>SUMPRODUCT((data!$A$2:$A$257=$A7)*(data!$G$2:$G$257=D$1)*data!$E$2:$E$257)+SUMPRODUCT((data!$B$2:$B$257=$A7)*(data!$H$2:$H$257=D$1)*data!$F$2:$F$257)</f>
        <v>1</v>
      </c>
      <c r="E7" s="4">
        <f>SUMPRODUCT((data!$A$2:$A$257=$A7)*(data!$G$2:$G$257=E$1)*data!$E$2:$E$257)+SUMPRODUCT((data!$B$2:$B$257=$A7)*(data!$H$2:$H$257=E$1)*data!$F$2:$F$257)</f>
        <v>1</v>
      </c>
      <c r="F7" s="4">
        <f>SUMPRODUCT((data!$A$2:$A$257=$A7)*(data!$G$2:$G$257=F$1)*data!$E$2:$E$257)+SUMPRODUCT((data!$B$2:$B$257=$A7)*(data!$H$2:$H$257=F$1)*data!$F$2:$F$257)</f>
        <v>-1</v>
      </c>
      <c r="G7" s="4">
        <f>SUMPRODUCT((data!$A$2:$A$257=$A7)*(data!$G$2:$G$257=G$1)*data!$E$2:$E$257)+SUMPRODUCT((data!$B$2:$B$257=$A7)*(data!$H$2:$H$257=G$1)*data!$F$2:$F$257)</f>
        <v>-1</v>
      </c>
      <c r="H7" s="4">
        <f>SUMPRODUCT((data!$A$2:$A$257=$A7)*(data!$G$2:$G$257=H$1)*data!$E$2:$E$257)+SUMPRODUCT((data!$B$2:$B$257=$A7)*(data!$H$2:$H$257=H$1)*data!$F$2:$F$257)</f>
        <v>1</v>
      </c>
      <c r="I7" s="4">
        <f>SUMPRODUCT((data!$A$2:$A$257=$A7)*(data!$G$2:$G$257=I$1)*data!$E$2:$E$257)+SUMPRODUCT((data!$B$2:$B$257=$A7)*(data!$H$2:$H$257=I$1)*data!$F$2:$F$257)</f>
        <v>-1</v>
      </c>
      <c r="J7" s="4">
        <f>SUMPRODUCT((data!$A$2:$A$257=$A7)*(data!$G$2:$G$257=J$1)*data!$E$2:$E$257)+SUMPRODUCT((data!$B$2:$B$257=$A7)*(data!$H$2:$H$257=J$1)*data!$F$2:$F$257)</f>
        <v>-1</v>
      </c>
      <c r="K7" s="4">
        <f>SUMPRODUCT((data!$A$2:$A$257=$A7)*(data!$G$2:$G$257=K$1)*data!$E$2:$E$257)+SUMPRODUCT((data!$B$2:$B$257=$A7)*(data!$H$2:$H$257=K$1)*data!$F$2:$F$257)</f>
        <v>-1</v>
      </c>
      <c r="L7" s="4">
        <f>SUMPRODUCT((data!$A$2:$A$257=$A7)*(data!$G$2:$G$257=L$1)*data!$E$2:$E$257)+SUMPRODUCT((data!$B$2:$B$257=$A7)*(data!$H$2:$H$257=L$1)*data!$F$2:$F$257)</f>
        <v>-1</v>
      </c>
      <c r="M7" s="4">
        <f>SUMPRODUCT((data!$A$2:$A$257=$A7)*(data!$G$2:$G$257=M$1)*data!$E$2:$E$257)+SUMPRODUCT((data!$B$2:$B$257=$A7)*(data!$H$2:$H$257=M$1)*data!$F$2:$F$257)</f>
        <v>1</v>
      </c>
      <c r="N7" s="4">
        <f>SUMPRODUCT((data!$A$2:$A$257=$A7)*(data!$G$2:$G$257=N$1)*data!$E$2:$E$257)+SUMPRODUCT((data!$B$2:$B$257=$A7)*(data!$H$2:$H$257=N$1)*data!$F$2:$F$257)</f>
        <v>-1</v>
      </c>
      <c r="O7" s="4">
        <f>SUMPRODUCT((data!$A$2:$A$257=$A7)*(data!$G$2:$G$257=O$1)*data!$E$2:$E$257)+SUMPRODUCT((data!$B$2:$B$257=$A7)*(data!$H$2:$H$257=O$1)*data!$F$2:$F$257)</f>
        <v>-1</v>
      </c>
      <c r="P7" s="4">
        <f>SUMPRODUCT((data!$A$2:$A$257=$A7)*(data!$G$2:$G$257=P$1)*data!$E$2:$E$257)+SUMPRODUCT((data!$B$2:$B$257=$A7)*(data!$H$2:$H$257=P$1)*data!$F$2:$F$257)</f>
        <v>1</v>
      </c>
      <c r="Q7" s="4">
        <f>SUMPRODUCT((data!$A$2:$A$257=$A7)*(data!$G$2:$G$257=Q$1)*data!$E$2:$E$257)+SUMPRODUCT((data!$B$2:$B$257=$A7)*(data!$H$2:$H$257=Q$1)*data!$F$2:$F$257)</f>
        <v>1</v>
      </c>
      <c r="S7">
        <f>COUNTIF(B7:Q7,1)</f>
        <v>7</v>
      </c>
      <c r="T7">
        <f>COUNTIF(B7:Q7,-1)</f>
        <v>9</v>
      </c>
    </row>
    <row r="8">
      <c r="A8" t="inlineStr">
        <is>
          <t>Cincinnati Bengals</t>
        </is>
      </c>
      <c r="B8" s="4">
        <f>SUMPRODUCT((data!$A$2:$A$257=$A8)*(data!$G$2:$G$257=B$1)*data!$E$2:$E$257)+SUMPRODUCT((data!$B$2:$B$257=$A8)*(data!$H$2:$H$257=B$1)*data!$F$2:$F$257)</f>
        <v>-1</v>
      </c>
      <c r="C8" s="4">
        <f>SUMPRODUCT((data!$A$2:$A$257=$A8)*(data!$G$2:$G$257=C$1)*data!$E$2:$E$257)+SUMPRODUCT((data!$B$2:$B$257=$A8)*(data!$H$2:$H$257=C$1)*data!$F$2:$F$257)</f>
        <v>1</v>
      </c>
      <c r="D8" s="4">
        <f>SUMPRODUCT((data!$A$2:$A$257=$A8)*(data!$G$2:$G$257=D$1)*data!$E$2:$E$257)+SUMPRODUCT((data!$B$2:$B$257=$A8)*(data!$H$2:$H$257=D$1)*data!$F$2:$F$257)</f>
        <v>1</v>
      </c>
      <c r="E8" s="4">
        <f>SUMPRODUCT((data!$A$2:$A$257=$A8)*(data!$G$2:$G$257=E$1)*data!$E$2:$E$257)+SUMPRODUCT((data!$B$2:$B$257=$A8)*(data!$H$2:$H$257=E$1)*data!$F$2:$F$257)</f>
        <v>1</v>
      </c>
      <c r="F8" s="4">
        <f>SUMPRODUCT((data!$A$2:$A$257=$A8)*(data!$G$2:$G$257=F$1)*data!$E$2:$E$257)+SUMPRODUCT((data!$B$2:$B$257=$A8)*(data!$H$2:$H$257=F$1)*data!$F$2:$F$257)</f>
        <v>1</v>
      </c>
      <c r="G8" s="4">
        <f>SUMPRODUCT((data!$A$2:$A$257=$A8)*(data!$G$2:$G$257=G$1)*data!$E$2:$E$257)+SUMPRODUCT((data!$B$2:$B$257=$A8)*(data!$H$2:$H$257=G$1)*data!$F$2:$F$257)</f>
        <v>-1</v>
      </c>
      <c r="H8" s="4">
        <f>SUMPRODUCT((data!$A$2:$A$257=$A8)*(data!$G$2:$G$257=H$1)*data!$E$2:$E$257)+SUMPRODUCT((data!$B$2:$B$257=$A8)*(data!$H$2:$H$257=H$1)*data!$F$2:$F$257)</f>
        <v>1</v>
      </c>
      <c r="I8" s="4">
        <f>SUMPRODUCT((data!$A$2:$A$257=$A8)*(data!$G$2:$G$257=I$1)*data!$E$2:$E$257)+SUMPRODUCT((data!$B$2:$B$257=$A8)*(data!$H$2:$H$257=I$1)*data!$F$2:$F$257)</f>
        <v>1</v>
      </c>
      <c r="J8" s="4">
        <f>SUMPRODUCT((data!$A$2:$A$257=$A8)*(data!$G$2:$G$257=J$1)*data!$E$2:$E$257)+SUMPRODUCT((data!$B$2:$B$257=$A8)*(data!$H$2:$H$257=J$1)*data!$F$2:$F$257)</f>
        <v>1</v>
      </c>
      <c r="K8" s="4">
        <f>SUMPRODUCT((data!$A$2:$A$257=$A8)*(data!$G$2:$G$257=K$1)*data!$E$2:$E$257)+SUMPRODUCT((data!$B$2:$B$257=$A8)*(data!$H$2:$H$257=K$1)*data!$F$2:$F$257)</f>
        <v>-1</v>
      </c>
      <c r="L8" s="4">
        <f>SUMPRODUCT((data!$A$2:$A$257=$A8)*(data!$G$2:$G$257=L$1)*data!$E$2:$E$257)+SUMPRODUCT((data!$B$2:$B$257=$A8)*(data!$H$2:$H$257=L$1)*data!$F$2:$F$257)</f>
        <v>1</v>
      </c>
      <c r="M8" s="4">
        <f>SUMPRODUCT((data!$A$2:$A$257=$A8)*(data!$G$2:$G$257=M$1)*data!$E$2:$E$257)+SUMPRODUCT((data!$B$2:$B$257=$A8)*(data!$H$2:$H$257=M$1)*data!$F$2:$F$257)</f>
        <v>1</v>
      </c>
      <c r="N8" s="4">
        <f>SUMPRODUCT((data!$A$2:$A$257=$A8)*(data!$G$2:$G$257=N$1)*data!$E$2:$E$257)+SUMPRODUCT((data!$B$2:$B$257=$A8)*(data!$H$2:$H$257=N$1)*data!$F$2:$F$257)</f>
        <v>-1</v>
      </c>
      <c r="O8" s="4">
        <f>SUMPRODUCT((data!$A$2:$A$257=$A8)*(data!$G$2:$G$257=O$1)*data!$E$2:$E$257)+SUMPRODUCT((data!$B$2:$B$257=$A8)*(data!$H$2:$H$257=O$1)*data!$F$2:$F$257)</f>
        <v>-1</v>
      </c>
      <c r="P8" s="4">
        <f>SUMPRODUCT((data!$A$2:$A$257=$A8)*(data!$G$2:$G$257=P$1)*data!$E$2:$E$257)+SUMPRODUCT((data!$B$2:$B$257=$A8)*(data!$H$2:$H$257=P$1)*data!$F$2:$F$257)</f>
        <v>1</v>
      </c>
      <c r="Q8" s="4">
        <f>SUMPRODUCT((data!$A$2:$A$257=$A8)*(data!$G$2:$G$257=Q$1)*data!$E$2:$E$257)+SUMPRODUCT((data!$B$2:$B$257=$A8)*(data!$H$2:$H$257=Q$1)*data!$F$2:$F$257)</f>
        <v>-1</v>
      </c>
      <c r="S8">
        <f>COUNTIF(B8:Q8,1)</f>
        <v>10</v>
      </c>
      <c r="T8">
        <f>COUNTIF(B8:Q8,-1)</f>
        <v>6</v>
      </c>
    </row>
    <row r="9">
      <c r="A9" t="inlineStr">
        <is>
          <t>Cleveland Browns</t>
        </is>
      </c>
      <c r="B9" s="4">
        <f>SUMPRODUCT((data!$A$2:$A$257=$A9)*(data!$G$2:$G$257=B$1)*data!$E$2:$E$257)+SUMPRODUCT((data!$B$2:$B$257=$A9)*(data!$H$2:$H$257=B$1)*data!$F$2:$F$257)</f>
        <v>-1</v>
      </c>
      <c r="C9" s="4">
        <f>SUMPRODUCT((data!$A$2:$A$257=$A9)*(data!$G$2:$G$257=C$1)*data!$E$2:$E$257)+SUMPRODUCT((data!$B$2:$B$257=$A9)*(data!$H$2:$H$257=C$1)*data!$F$2:$F$257)</f>
        <v>-1</v>
      </c>
      <c r="D9" s="4">
        <f>SUMPRODUCT((data!$A$2:$A$257=$A9)*(data!$G$2:$G$257=D$1)*data!$E$2:$E$257)+SUMPRODUCT((data!$B$2:$B$257=$A9)*(data!$H$2:$H$257=D$1)*data!$F$2:$F$257)</f>
        <v>-1</v>
      </c>
      <c r="E9" s="4">
        <f>SUMPRODUCT((data!$A$2:$A$257=$A9)*(data!$G$2:$G$257=E$1)*data!$E$2:$E$257)+SUMPRODUCT((data!$B$2:$B$257=$A9)*(data!$H$2:$H$257=E$1)*data!$F$2:$F$257)</f>
        <v>-1</v>
      </c>
      <c r="F9" s="4">
        <f>SUMPRODUCT((data!$A$2:$A$257=$A9)*(data!$G$2:$G$257=F$1)*data!$E$2:$E$257)+SUMPRODUCT((data!$B$2:$B$257=$A9)*(data!$H$2:$H$257=F$1)*data!$F$2:$F$257)</f>
        <v>1</v>
      </c>
      <c r="G9" s="4">
        <f>SUMPRODUCT((data!$A$2:$A$257=$A9)*(data!$G$2:$G$257=G$1)*data!$E$2:$E$257)+SUMPRODUCT((data!$B$2:$B$257=$A9)*(data!$H$2:$H$257=G$1)*data!$F$2:$F$257)</f>
        <v>-1</v>
      </c>
      <c r="H9" s="4">
        <f>SUMPRODUCT((data!$A$2:$A$257=$A9)*(data!$G$2:$G$257=H$1)*data!$E$2:$E$257)+SUMPRODUCT((data!$B$2:$B$257=$A9)*(data!$H$2:$H$257=H$1)*data!$F$2:$F$257)</f>
        <v>-1</v>
      </c>
      <c r="I9" s="4">
        <f>SUMPRODUCT((data!$A$2:$A$257=$A9)*(data!$G$2:$G$257=I$1)*data!$E$2:$E$257)+SUMPRODUCT((data!$B$2:$B$257=$A9)*(data!$H$2:$H$257=I$1)*data!$F$2:$F$257)</f>
        <v>-1</v>
      </c>
      <c r="J9" s="4">
        <f>SUMPRODUCT((data!$A$2:$A$257=$A9)*(data!$G$2:$G$257=J$1)*data!$E$2:$E$257)+SUMPRODUCT((data!$B$2:$B$257=$A9)*(data!$H$2:$H$257=J$1)*data!$F$2:$F$257)</f>
        <v>-1</v>
      </c>
      <c r="K9" s="4">
        <f>SUMPRODUCT((data!$A$2:$A$257=$A9)*(data!$G$2:$G$257=K$1)*data!$E$2:$E$257)+SUMPRODUCT((data!$B$2:$B$257=$A9)*(data!$H$2:$H$257=K$1)*data!$F$2:$F$257)</f>
        <v>-1</v>
      </c>
      <c r="L9" s="4">
        <f>SUMPRODUCT((data!$A$2:$A$257=$A9)*(data!$G$2:$G$257=L$1)*data!$E$2:$E$257)+SUMPRODUCT((data!$B$2:$B$257=$A9)*(data!$H$2:$H$257=L$1)*data!$F$2:$F$257)</f>
        <v>-1</v>
      </c>
      <c r="M9" s="4">
        <f>SUMPRODUCT((data!$A$2:$A$257=$A9)*(data!$G$2:$G$257=M$1)*data!$E$2:$E$257)+SUMPRODUCT((data!$B$2:$B$257=$A9)*(data!$H$2:$H$257=M$1)*data!$F$2:$F$257)</f>
        <v>-1</v>
      </c>
      <c r="N9" s="4">
        <f>SUMPRODUCT((data!$A$2:$A$257=$A9)*(data!$G$2:$G$257=N$1)*data!$E$2:$E$257)+SUMPRODUCT((data!$B$2:$B$257=$A9)*(data!$H$2:$H$257=N$1)*data!$F$2:$F$257)</f>
        <v>1</v>
      </c>
      <c r="O9" s="4">
        <f>SUMPRODUCT((data!$A$2:$A$257=$A9)*(data!$G$2:$G$257=O$1)*data!$E$2:$E$257)+SUMPRODUCT((data!$B$2:$B$257=$A9)*(data!$H$2:$H$257=O$1)*data!$F$2:$F$257)</f>
        <v>1</v>
      </c>
      <c r="P9" s="4">
        <f>SUMPRODUCT((data!$A$2:$A$257=$A9)*(data!$G$2:$G$257=P$1)*data!$E$2:$E$257)+SUMPRODUCT((data!$B$2:$B$257=$A9)*(data!$H$2:$H$257=P$1)*data!$F$2:$F$257)</f>
        <v>1</v>
      </c>
      <c r="Q9" s="4">
        <f>SUMPRODUCT((data!$A$2:$A$257=$A9)*(data!$G$2:$G$257=Q$1)*data!$E$2:$E$257)+SUMPRODUCT((data!$B$2:$B$257=$A9)*(data!$H$2:$H$257=Q$1)*data!$F$2:$F$257)</f>
        <v>1</v>
      </c>
      <c r="S9">
        <f>COUNTIF(B9:Q9,1)</f>
        <v>5</v>
      </c>
      <c r="T9">
        <f>COUNTIF(B9:Q9,-1)</f>
        <v>11</v>
      </c>
    </row>
    <row r="10">
      <c r="A10" t="inlineStr">
        <is>
          <t>Dallas Cowboys</t>
        </is>
      </c>
      <c r="B10" s="4">
        <f>SUMPRODUCT((data!$A$2:$A$257=$A10)*(data!$G$2:$G$257=B$1)*data!$E$2:$E$257)+SUMPRODUCT((data!$B$2:$B$257=$A10)*(data!$H$2:$H$257=B$1)*data!$F$2:$F$257)</f>
        <v>1</v>
      </c>
      <c r="C10" s="4">
        <f>SUMPRODUCT((data!$A$2:$A$257=$A10)*(data!$G$2:$G$257=C$1)*data!$E$2:$E$257)+SUMPRODUCT((data!$B$2:$B$257=$A10)*(data!$H$2:$H$257=C$1)*data!$F$2:$F$257)</f>
        <v>-1</v>
      </c>
      <c r="D10" s="4">
        <f>SUMPRODUCT((data!$A$2:$A$257=$A10)*(data!$G$2:$G$257=D$1)*data!$E$2:$E$257)+SUMPRODUCT((data!$B$2:$B$257=$A10)*(data!$H$2:$H$257=D$1)*data!$F$2:$F$257)</f>
        <v>1</v>
      </c>
      <c r="E10" s="4">
        <f>SUMPRODUCT((data!$A$2:$A$257=$A10)*(data!$G$2:$G$257=E$1)*data!$E$2:$E$257)+SUMPRODUCT((data!$B$2:$B$257=$A10)*(data!$H$2:$H$257=E$1)*data!$F$2:$F$257)</f>
        <v>-1</v>
      </c>
      <c r="F10" s="4">
        <f>SUMPRODUCT((data!$A$2:$A$257=$A10)*(data!$G$2:$G$257=F$1)*data!$E$2:$E$257)+SUMPRODUCT((data!$B$2:$B$257=$A10)*(data!$H$2:$H$257=F$1)*data!$F$2:$F$257)</f>
        <v>1</v>
      </c>
      <c r="G10" s="4">
        <f>SUMPRODUCT((data!$A$2:$A$257=$A10)*(data!$G$2:$G$257=G$1)*data!$E$2:$E$257)+SUMPRODUCT((data!$B$2:$B$257=$A10)*(data!$H$2:$H$257=G$1)*data!$F$2:$F$257)</f>
        <v>1</v>
      </c>
      <c r="H10" s="4">
        <f>SUMPRODUCT((data!$A$2:$A$257=$A10)*(data!$G$2:$G$257=H$1)*data!$E$2:$E$257)+SUMPRODUCT((data!$B$2:$B$257=$A10)*(data!$H$2:$H$257=H$1)*data!$F$2:$F$257)</f>
        <v>1</v>
      </c>
      <c r="I10" s="4">
        <f>SUMPRODUCT((data!$A$2:$A$257=$A10)*(data!$G$2:$G$257=I$1)*data!$E$2:$E$257)+SUMPRODUCT((data!$B$2:$B$257=$A10)*(data!$H$2:$H$257=I$1)*data!$F$2:$F$257)</f>
        <v>1</v>
      </c>
      <c r="J10" s="4">
        <f>SUMPRODUCT((data!$A$2:$A$257=$A10)*(data!$G$2:$G$257=J$1)*data!$E$2:$E$257)+SUMPRODUCT((data!$B$2:$B$257=$A10)*(data!$H$2:$H$257=J$1)*data!$F$2:$F$257)</f>
        <v>-1</v>
      </c>
      <c r="K10" s="4">
        <f>SUMPRODUCT((data!$A$2:$A$257=$A10)*(data!$G$2:$G$257=K$1)*data!$E$2:$E$257)+SUMPRODUCT((data!$B$2:$B$257=$A10)*(data!$H$2:$H$257=K$1)*data!$F$2:$F$257)</f>
        <v>1</v>
      </c>
      <c r="L10" s="4">
        <f>SUMPRODUCT((data!$A$2:$A$257=$A10)*(data!$G$2:$G$257=L$1)*data!$E$2:$E$257)+SUMPRODUCT((data!$B$2:$B$257=$A10)*(data!$H$2:$H$257=L$1)*data!$F$2:$F$257)</f>
        <v>1</v>
      </c>
      <c r="M10" s="4">
        <f>SUMPRODUCT((data!$A$2:$A$257=$A10)*(data!$G$2:$G$257=M$1)*data!$E$2:$E$257)+SUMPRODUCT((data!$B$2:$B$257=$A10)*(data!$H$2:$H$257=M$1)*data!$F$2:$F$257)</f>
        <v>-1</v>
      </c>
      <c r="N10" s="4">
        <f>SUMPRODUCT((data!$A$2:$A$257=$A10)*(data!$G$2:$G$257=N$1)*data!$E$2:$E$257)+SUMPRODUCT((data!$B$2:$B$257=$A10)*(data!$H$2:$H$257=N$1)*data!$F$2:$F$257)</f>
        <v>-1</v>
      </c>
      <c r="O10" s="4">
        <f>SUMPRODUCT((data!$A$2:$A$257=$A10)*(data!$G$2:$G$257=O$1)*data!$E$2:$E$257)+SUMPRODUCT((data!$B$2:$B$257=$A10)*(data!$H$2:$H$257=O$1)*data!$F$2:$F$257)</f>
        <v>1</v>
      </c>
      <c r="P10" s="4">
        <f>SUMPRODUCT((data!$A$2:$A$257=$A10)*(data!$G$2:$G$257=P$1)*data!$E$2:$E$257)+SUMPRODUCT((data!$B$2:$B$257=$A10)*(data!$H$2:$H$257=P$1)*data!$F$2:$F$257)</f>
        <v>1</v>
      </c>
      <c r="Q10" s="4">
        <f>SUMPRODUCT((data!$A$2:$A$257=$A10)*(data!$G$2:$G$257=Q$1)*data!$E$2:$E$257)+SUMPRODUCT((data!$B$2:$B$257=$A10)*(data!$H$2:$H$257=Q$1)*data!$F$2:$F$257)</f>
        <v>1</v>
      </c>
      <c r="S10">
        <f>COUNTIF(B10:Q10,1)</f>
        <v>11</v>
      </c>
      <c r="T10">
        <f>COUNTIF(B10:Q10,-1)</f>
        <v>5</v>
      </c>
    </row>
    <row r="11">
      <c r="A11" t="inlineStr">
        <is>
          <t>Denver Broncos</t>
        </is>
      </c>
      <c r="B11" s="4">
        <f>SUMPRODUCT((data!$A$2:$A$257=$A11)*(data!$G$2:$G$257=B$1)*data!$E$2:$E$257)+SUMPRODUCT((data!$B$2:$B$257=$A11)*(data!$H$2:$H$257=B$1)*data!$F$2:$F$257)</f>
        <v>1</v>
      </c>
      <c r="C11" s="4">
        <f>SUMPRODUCT((data!$A$2:$A$257=$A11)*(data!$G$2:$G$257=C$1)*data!$E$2:$E$257)+SUMPRODUCT((data!$B$2:$B$257=$A11)*(data!$H$2:$H$257=C$1)*data!$F$2:$F$257)</f>
        <v>1</v>
      </c>
      <c r="D11" s="4">
        <f>SUMPRODUCT((data!$A$2:$A$257=$A11)*(data!$G$2:$G$257=D$1)*data!$E$2:$E$257)+SUMPRODUCT((data!$B$2:$B$257=$A11)*(data!$H$2:$H$257=D$1)*data!$F$2:$F$257)</f>
        <v>1</v>
      </c>
      <c r="E11" s="4">
        <f>SUMPRODUCT((data!$A$2:$A$257=$A11)*(data!$G$2:$G$257=E$1)*data!$E$2:$E$257)+SUMPRODUCT((data!$B$2:$B$257=$A11)*(data!$H$2:$H$257=E$1)*data!$F$2:$F$257)</f>
        <v>1</v>
      </c>
      <c r="F11" s="4">
        <f>SUMPRODUCT((data!$A$2:$A$257=$A11)*(data!$G$2:$G$257=F$1)*data!$E$2:$E$257)+SUMPRODUCT((data!$B$2:$B$257=$A11)*(data!$H$2:$H$257=F$1)*data!$F$2:$F$257)</f>
        <v>1</v>
      </c>
      <c r="G11" s="4">
        <f>SUMPRODUCT((data!$A$2:$A$257=$A11)*(data!$G$2:$G$257=G$1)*data!$E$2:$E$257)+SUMPRODUCT((data!$B$2:$B$257=$A11)*(data!$H$2:$H$257=G$1)*data!$F$2:$F$257)</f>
        <v>1</v>
      </c>
      <c r="H11" s="4">
        <f>SUMPRODUCT((data!$A$2:$A$257=$A11)*(data!$G$2:$G$257=H$1)*data!$E$2:$E$257)+SUMPRODUCT((data!$B$2:$B$257=$A11)*(data!$H$2:$H$257=H$1)*data!$F$2:$F$257)</f>
        <v>-1</v>
      </c>
      <c r="I11" s="4">
        <f>SUMPRODUCT((data!$A$2:$A$257=$A11)*(data!$G$2:$G$257=I$1)*data!$E$2:$E$257)+SUMPRODUCT((data!$B$2:$B$257=$A11)*(data!$H$2:$H$257=I$1)*data!$F$2:$F$257)</f>
        <v>-1</v>
      </c>
      <c r="J11" s="4">
        <f>SUMPRODUCT((data!$A$2:$A$257=$A11)*(data!$G$2:$G$257=J$1)*data!$E$2:$E$257)+SUMPRODUCT((data!$B$2:$B$257=$A11)*(data!$H$2:$H$257=J$1)*data!$F$2:$F$257)</f>
        <v>-1</v>
      </c>
      <c r="K11" s="4">
        <f>SUMPRODUCT((data!$A$2:$A$257=$A11)*(data!$G$2:$G$257=K$1)*data!$E$2:$E$257)+SUMPRODUCT((data!$B$2:$B$257=$A11)*(data!$H$2:$H$257=K$1)*data!$F$2:$F$257)</f>
        <v>-1</v>
      </c>
      <c r="L11" s="4">
        <f>SUMPRODUCT((data!$A$2:$A$257=$A11)*(data!$G$2:$G$257=L$1)*data!$E$2:$E$257)+SUMPRODUCT((data!$B$2:$B$257=$A11)*(data!$H$2:$H$257=L$1)*data!$F$2:$F$257)</f>
        <v>1</v>
      </c>
      <c r="M11" s="4">
        <f>SUMPRODUCT((data!$A$2:$A$257=$A11)*(data!$G$2:$G$257=M$1)*data!$E$2:$E$257)+SUMPRODUCT((data!$B$2:$B$257=$A11)*(data!$H$2:$H$257=M$1)*data!$F$2:$F$257)</f>
        <v>1</v>
      </c>
      <c r="N11" s="4">
        <f>SUMPRODUCT((data!$A$2:$A$257=$A11)*(data!$G$2:$G$257=N$1)*data!$E$2:$E$257)+SUMPRODUCT((data!$B$2:$B$257=$A11)*(data!$H$2:$H$257=N$1)*data!$F$2:$F$257)</f>
        <v>-1</v>
      </c>
      <c r="O11" s="4">
        <f>SUMPRODUCT((data!$A$2:$A$257=$A11)*(data!$G$2:$G$257=O$1)*data!$E$2:$E$257)+SUMPRODUCT((data!$B$2:$B$257=$A11)*(data!$H$2:$H$257=O$1)*data!$F$2:$F$257)</f>
        <v>-1</v>
      </c>
      <c r="P11" s="4">
        <f>SUMPRODUCT((data!$A$2:$A$257=$A11)*(data!$G$2:$G$257=P$1)*data!$E$2:$E$257)+SUMPRODUCT((data!$B$2:$B$257=$A11)*(data!$H$2:$H$257=P$1)*data!$F$2:$F$257)</f>
        <v>-1</v>
      </c>
      <c r="Q11" s="4">
        <f>SUMPRODUCT((data!$A$2:$A$257=$A11)*(data!$G$2:$G$257=Q$1)*data!$E$2:$E$257)+SUMPRODUCT((data!$B$2:$B$257=$A11)*(data!$H$2:$H$257=Q$1)*data!$F$2:$F$257)</f>
        <v>-1</v>
      </c>
      <c r="S11">
        <f>COUNTIF(B11:Q11,1)</f>
        <v>8</v>
      </c>
      <c r="T11">
        <f>COUNTIF(B11:Q11,-1)</f>
        <v>8</v>
      </c>
    </row>
    <row r="12">
      <c r="A12" t="inlineStr">
        <is>
          <t>Detroit Lions</t>
        </is>
      </c>
      <c r="B12" s="4">
        <f>SUMPRODUCT((data!$A$2:$A$257=$A12)*(data!$G$2:$G$257=B$1)*data!$E$2:$E$257)+SUMPRODUCT((data!$B$2:$B$257=$A12)*(data!$H$2:$H$257=B$1)*data!$F$2:$F$257)</f>
        <v>-1</v>
      </c>
      <c r="C12" s="4">
        <f>SUMPRODUCT((data!$A$2:$A$257=$A12)*(data!$G$2:$G$257=C$1)*data!$E$2:$E$257)+SUMPRODUCT((data!$B$2:$B$257=$A12)*(data!$H$2:$H$257=C$1)*data!$F$2:$F$257)</f>
        <v>-1</v>
      </c>
      <c r="D12" s="4">
        <f>SUMPRODUCT((data!$A$2:$A$257=$A12)*(data!$G$2:$G$257=D$1)*data!$E$2:$E$257)+SUMPRODUCT((data!$B$2:$B$257=$A12)*(data!$H$2:$H$257=D$1)*data!$F$2:$F$257)</f>
        <v>1</v>
      </c>
      <c r="E12" s="4">
        <f>SUMPRODUCT((data!$A$2:$A$257=$A12)*(data!$G$2:$G$257=E$1)*data!$E$2:$E$257)+SUMPRODUCT((data!$B$2:$B$257=$A12)*(data!$H$2:$H$257=E$1)*data!$F$2:$F$257)</f>
        <v>-1</v>
      </c>
      <c r="F12" s="4">
        <f>SUMPRODUCT((data!$A$2:$A$257=$A12)*(data!$G$2:$G$257=F$1)*data!$E$2:$E$257)+SUMPRODUCT((data!$B$2:$B$257=$A12)*(data!$H$2:$H$257=F$1)*data!$F$2:$F$257)</f>
        <v>-1</v>
      </c>
      <c r="G12" s="4">
        <f>SUMPRODUCT((data!$A$2:$A$257=$A12)*(data!$G$2:$G$257=G$1)*data!$E$2:$E$257)+SUMPRODUCT((data!$B$2:$B$257=$A12)*(data!$H$2:$H$257=G$1)*data!$F$2:$F$257)</f>
        <v>-1</v>
      </c>
      <c r="H12" s="4">
        <f>SUMPRODUCT((data!$A$2:$A$257=$A12)*(data!$G$2:$G$257=H$1)*data!$E$2:$E$257)+SUMPRODUCT((data!$B$2:$B$257=$A12)*(data!$H$2:$H$257=H$1)*data!$F$2:$F$257)</f>
        <v>-1</v>
      </c>
      <c r="I12" s="4">
        <f>SUMPRODUCT((data!$A$2:$A$257=$A12)*(data!$G$2:$G$257=I$1)*data!$E$2:$E$257)+SUMPRODUCT((data!$B$2:$B$257=$A12)*(data!$H$2:$H$257=I$1)*data!$F$2:$F$257)</f>
        <v>-1</v>
      </c>
      <c r="J12" s="4">
        <f>SUMPRODUCT((data!$A$2:$A$257=$A12)*(data!$G$2:$G$257=J$1)*data!$E$2:$E$257)+SUMPRODUCT((data!$B$2:$B$257=$A12)*(data!$H$2:$H$257=J$1)*data!$F$2:$F$257)</f>
        <v>-1</v>
      </c>
      <c r="K12" s="4">
        <f>SUMPRODUCT((data!$A$2:$A$257=$A12)*(data!$G$2:$G$257=K$1)*data!$E$2:$E$257)+SUMPRODUCT((data!$B$2:$B$257=$A12)*(data!$H$2:$H$257=K$1)*data!$F$2:$F$257)</f>
        <v>1</v>
      </c>
      <c r="L12" s="4">
        <f>SUMPRODUCT((data!$A$2:$A$257=$A12)*(data!$G$2:$G$257=L$1)*data!$E$2:$E$257)+SUMPRODUCT((data!$B$2:$B$257=$A12)*(data!$H$2:$H$257=L$1)*data!$F$2:$F$257)</f>
        <v>-1</v>
      </c>
      <c r="M12" s="4">
        <f>SUMPRODUCT((data!$A$2:$A$257=$A12)*(data!$G$2:$G$257=M$1)*data!$E$2:$E$257)+SUMPRODUCT((data!$B$2:$B$257=$A12)*(data!$H$2:$H$257=M$1)*data!$F$2:$F$257)</f>
        <v>-1</v>
      </c>
      <c r="N12" s="4">
        <f>SUMPRODUCT((data!$A$2:$A$257=$A12)*(data!$G$2:$G$257=N$1)*data!$E$2:$E$257)+SUMPRODUCT((data!$B$2:$B$257=$A12)*(data!$H$2:$H$257=N$1)*data!$F$2:$F$257)</f>
        <v>-1</v>
      </c>
      <c r="O12" s="4">
        <f>SUMPRODUCT((data!$A$2:$A$257=$A12)*(data!$G$2:$G$257=O$1)*data!$E$2:$E$257)+SUMPRODUCT((data!$B$2:$B$257=$A12)*(data!$H$2:$H$257=O$1)*data!$F$2:$F$257)</f>
        <v>-1</v>
      </c>
      <c r="P12" s="4">
        <f>SUMPRODUCT((data!$A$2:$A$257=$A12)*(data!$G$2:$G$257=P$1)*data!$E$2:$E$257)+SUMPRODUCT((data!$B$2:$B$257=$A12)*(data!$H$2:$H$257=P$1)*data!$F$2:$F$257)</f>
        <v>-1</v>
      </c>
      <c r="Q12" s="4">
        <f>SUMPRODUCT((data!$A$2:$A$257=$A12)*(data!$G$2:$G$257=Q$1)*data!$E$2:$E$257)+SUMPRODUCT((data!$B$2:$B$257=$A12)*(data!$H$2:$H$257=Q$1)*data!$F$2:$F$257)</f>
        <v>-1</v>
      </c>
      <c r="S12">
        <f>COUNTIF(B12:Q12,1)</f>
        <v>2</v>
      </c>
      <c r="T12">
        <f>COUNTIF(B12:Q12,-1)</f>
        <v>14</v>
      </c>
    </row>
    <row r="13">
      <c r="A13" t="inlineStr">
        <is>
          <t>Green Bay Packers</t>
        </is>
      </c>
      <c r="B13" s="4">
        <f>SUMPRODUCT((data!$A$2:$A$257=$A13)*(data!$G$2:$G$257=B$1)*data!$E$2:$E$257)+SUMPRODUCT((data!$B$2:$B$257=$A13)*(data!$H$2:$H$257=B$1)*data!$F$2:$F$257)</f>
        <v>1</v>
      </c>
      <c r="C13" s="4">
        <f>SUMPRODUCT((data!$A$2:$A$257=$A13)*(data!$G$2:$G$257=C$1)*data!$E$2:$E$257)+SUMPRODUCT((data!$B$2:$B$257=$A13)*(data!$H$2:$H$257=C$1)*data!$F$2:$F$257)</f>
        <v>-1</v>
      </c>
      <c r="D13" s="4">
        <f>SUMPRODUCT((data!$A$2:$A$257=$A13)*(data!$G$2:$G$257=D$1)*data!$E$2:$E$257)+SUMPRODUCT((data!$B$2:$B$257=$A13)*(data!$H$2:$H$257=D$1)*data!$F$2:$F$257)</f>
        <v>1</v>
      </c>
      <c r="E13" s="4">
        <f>SUMPRODUCT((data!$A$2:$A$257=$A13)*(data!$G$2:$G$257=E$1)*data!$E$2:$E$257)+SUMPRODUCT((data!$B$2:$B$257=$A13)*(data!$H$2:$H$257=E$1)*data!$F$2:$F$257)</f>
        <v>-1</v>
      </c>
      <c r="F13" s="4">
        <f>SUMPRODUCT((data!$A$2:$A$257=$A13)*(data!$G$2:$G$257=F$1)*data!$E$2:$E$257)+SUMPRODUCT((data!$B$2:$B$257=$A13)*(data!$H$2:$H$257=F$1)*data!$F$2:$F$257)</f>
        <v>1</v>
      </c>
      <c r="G13" s="4">
        <f>SUMPRODUCT((data!$A$2:$A$257=$A13)*(data!$G$2:$G$257=G$1)*data!$E$2:$E$257)+SUMPRODUCT((data!$B$2:$B$257=$A13)*(data!$H$2:$H$257=G$1)*data!$F$2:$F$257)</f>
        <v>1</v>
      </c>
      <c r="H13" s="4">
        <f>SUMPRODUCT((data!$A$2:$A$257=$A13)*(data!$G$2:$G$257=H$1)*data!$E$2:$E$257)+SUMPRODUCT((data!$B$2:$B$257=$A13)*(data!$H$2:$H$257=H$1)*data!$F$2:$F$257)</f>
        <v>-1</v>
      </c>
      <c r="I13" s="4">
        <f>SUMPRODUCT((data!$A$2:$A$257=$A13)*(data!$G$2:$G$257=I$1)*data!$E$2:$E$257)+SUMPRODUCT((data!$B$2:$B$257=$A13)*(data!$H$2:$H$257=I$1)*data!$F$2:$F$257)</f>
        <v>-1</v>
      </c>
      <c r="J13" s="4">
        <f>SUMPRODUCT((data!$A$2:$A$257=$A13)*(data!$G$2:$G$257=J$1)*data!$E$2:$E$257)+SUMPRODUCT((data!$B$2:$B$257=$A13)*(data!$H$2:$H$257=J$1)*data!$F$2:$F$257)</f>
        <v>1</v>
      </c>
      <c r="K13" s="4">
        <f>SUMPRODUCT((data!$A$2:$A$257=$A13)*(data!$G$2:$G$257=K$1)*data!$E$2:$E$257)+SUMPRODUCT((data!$B$2:$B$257=$A13)*(data!$H$2:$H$257=K$1)*data!$F$2:$F$257)</f>
        <v>1</v>
      </c>
      <c r="L13" s="4">
        <f>SUMPRODUCT((data!$A$2:$A$257=$A13)*(data!$G$2:$G$257=L$1)*data!$E$2:$E$257)+SUMPRODUCT((data!$B$2:$B$257=$A13)*(data!$H$2:$H$257=L$1)*data!$F$2:$F$257)</f>
        <v>1</v>
      </c>
      <c r="M13" s="4">
        <f>SUMPRODUCT((data!$A$2:$A$257=$A13)*(data!$G$2:$G$257=M$1)*data!$E$2:$E$257)+SUMPRODUCT((data!$B$2:$B$257=$A13)*(data!$H$2:$H$257=M$1)*data!$F$2:$F$257)</f>
        <v>1</v>
      </c>
      <c r="N13" s="4">
        <f>SUMPRODUCT((data!$A$2:$A$257=$A13)*(data!$G$2:$G$257=N$1)*data!$E$2:$E$257)+SUMPRODUCT((data!$B$2:$B$257=$A13)*(data!$H$2:$H$257=N$1)*data!$F$2:$F$257)</f>
        <v>1</v>
      </c>
      <c r="O13" s="4">
        <f>SUMPRODUCT((data!$A$2:$A$257=$A13)*(data!$G$2:$G$257=O$1)*data!$E$2:$E$257)+SUMPRODUCT((data!$B$2:$B$257=$A13)*(data!$H$2:$H$257=O$1)*data!$F$2:$F$257)</f>
        <v>-1</v>
      </c>
      <c r="P13" s="4">
        <f>SUMPRODUCT((data!$A$2:$A$257=$A13)*(data!$G$2:$G$257=P$1)*data!$E$2:$E$257)+SUMPRODUCT((data!$B$2:$B$257=$A13)*(data!$H$2:$H$257=P$1)*data!$F$2:$F$257)</f>
        <v>1</v>
      </c>
      <c r="Q13" s="4">
        <f>SUMPRODUCT((data!$A$2:$A$257=$A13)*(data!$G$2:$G$257=Q$1)*data!$E$2:$E$257)+SUMPRODUCT((data!$B$2:$B$257=$A13)*(data!$H$2:$H$257=Q$1)*data!$F$2:$F$257)</f>
        <v>1</v>
      </c>
      <c r="S13">
        <f>COUNTIF(B13:Q13,1)</f>
        <v>11</v>
      </c>
      <c r="T13">
        <f>COUNTIF(B13:Q13,-1)</f>
        <v>5</v>
      </c>
    </row>
    <row r="14">
      <c r="A14" t="inlineStr">
        <is>
          <t>Houston Texans</t>
        </is>
      </c>
      <c r="B14" s="4">
        <f>SUMPRODUCT((data!$A$2:$A$257=$A14)*(data!$G$2:$G$257=B$1)*data!$E$2:$E$257)+SUMPRODUCT((data!$B$2:$B$257=$A14)*(data!$H$2:$H$257=B$1)*data!$F$2:$F$257)</f>
        <v>-1</v>
      </c>
      <c r="C14" s="4">
        <f>SUMPRODUCT((data!$A$2:$A$257=$A14)*(data!$G$2:$G$257=C$1)*data!$E$2:$E$257)+SUMPRODUCT((data!$B$2:$B$257=$A14)*(data!$H$2:$H$257=C$1)*data!$F$2:$F$257)</f>
        <v>1</v>
      </c>
      <c r="D14" s="4">
        <f>SUMPRODUCT((data!$A$2:$A$257=$A14)*(data!$G$2:$G$257=D$1)*data!$E$2:$E$257)+SUMPRODUCT((data!$B$2:$B$257=$A14)*(data!$H$2:$H$257=D$1)*data!$F$2:$F$257)</f>
        <v>-1</v>
      </c>
      <c r="E14" s="4">
        <f>SUMPRODUCT((data!$A$2:$A$257=$A14)*(data!$G$2:$G$257=E$1)*data!$E$2:$E$257)+SUMPRODUCT((data!$B$2:$B$257=$A14)*(data!$H$2:$H$257=E$1)*data!$F$2:$F$257)</f>
        <v>1</v>
      </c>
      <c r="F14" s="4">
        <f>SUMPRODUCT((data!$A$2:$A$257=$A14)*(data!$G$2:$G$257=F$1)*data!$E$2:$E$257)+SUMPRODUCT((data!$B$2:$B$257=$A14)*(data!$H$2:$H$257=F$1)*data!$F$2:$F$257)</f>
        <v>-1</v>
      </c>
      <c r="G14" s="4">
        <f>SUMPRODUCT((data!$A$2:$A$257=$A14)*(data!$G$2:$G$257=G$1)*data!$E$2:$E$257)+SUMPRODUCT((data!$B$2:$B$257=$A14)*(data!$H$2:$H$257=G$1)*data!$F$2:$F$257)</f>
        <v>1</v>
      </c>
      <c r="H14" s="4">
        <f>SUMPRODUCT((data!$A$2:$A$257=$A14)*(data!$G$2:$G$257=H$1)*data!$E$2:$E$257)+SUMPRODUCT((data!$B$2:$B$257=$A14)*(data!$H$2:$H$257=H$1)*data!$F$2:$F$257)</f>
        <v>1</v>
      </c>
      <c r="I14" s="4">
        <f>SUMPRODUCT((data!$A$2:$A$257=$A14)*(data!$G$2:$G$257=I$1)*data!$E$2:$E$257)+SUMPRODUCT((data!$B$2:$B$257=$A14)*(data!$H$2:$H$257=I$1)*data!$F$2:$F$257)</f>
        <v>1</v>
      </c>
      <c r="J14" s="4">
        <f>SUMPRODUCT((data!$A$2:$A$257=$A14)*(data!$G$2:$G$257=J$1)*data!$E$2:$E$257)+SUMPRODUCT((data!$B$2:$B$257=$A14)*(data!$H$2:$H$257=J$1)*data!$F$2:$F$257)</f>
        <v>-1</v>
      </c>
      <c r="K14" s="4">
        <f>SUMPRODUCT((data!$A$2:$A$257=$A14)*(data!$G$2:$G$257=K$1)*data!$E$2:$E$257)+SUMPRODUCT((data!$B$2:$B$257=$A14)*(data!$H$2:$H$257=K$1)*data!$F$2:$F$257)</f>
        <v>-1</v>
      </c>
      <c r="L14" s="4">
        <f>SUMPRODUCT((data!$A$2:$A$257=$A14)*(data!$G$2:$G$257=L$1)*data!$E$2:$E$257)+SUMPRODUCT((data!$B$2:$B$257=$A14)*(data!$H$2:$H$257=L$1)*data!$F$2:$F$257)</f>
        <v>-1</v>
      </c>
      <c r="M14" s="4">
        <f>SUMPRODUCT((data!$A$2:$A$257=$A14)*(data!$G$2:$G$257=M$1)*data!$E$2:$E$257)+SUMPRODUCT((data!$B$2:$B$257=$A14)*(data!$H$2:$H$257=M$1)*data!$F$2:$F$257)</f>
        <v>-1</v>
      </c>
      <c r="N14" s="4">
        <f>SUMPRODUCT((data!$A$2:$A$257=$A14)*(data!$G$2:$G$257=N$1)*data!$E$2:$E$257)+SUMPRODUCT((data!$B$2:$B$257=$A14)*(data!$H$2:$H$257=N$1)*data!$F$2:$F$257)</f>
        <v>1</v>
      </c>
      <c r="O14" s="4">
        <f>SUMPRODUCT((data!$A$2:$A$257=$A14)*(data!$G$2:$G$257=O$1)*data!$E$2:$E$257)+SUMPRODUCT((data!$B$2:$B$257=$A14)*(data!$H$2:$H$257=O$1)*data!$F$2:$F$257)</f>
        <v>1</v>
      </c>
      <c r="P14" s="4">
        <f>SUMPRODUCT((data!$A$2:$A$257=$A14)*(data!$G$2:$G$257=P$1)*data!$E$2:$E$257)+SUMPRODUCT((data!$B$2:$B$257=$A14)*(data!$H$2:$H$257=P$1)*data!$F$2:$F$257)</f>
        <v>1</v>
      </c>
      <c r="Q14" s="4">
        <f>SUMPRODUCT((data!$A$2:$A$257=$A14)*(data!$G$2:$G$257=Q$1)*data!$E$2:$E$257)+SUMPRODUCT((data!$B$2:$B$257=$A14)*(data!$H$2:$H$257=Q$1)*data!$F$2:$F$257)</f>
        <v>1</v>
      </c>
      <c r="S14">
        <f>COUNTIF(B14:Q14,1)</f>
        <v>9</v>
      </c>
      <c r="T14">
        <f>COUNTIF(B14:Q14,-1)</f>
        <v>7</v>
      </c>
    </row>
    <row r="15">
      <c r="A15" t="inlineStr">
        <is>
          <t>Indianapolis Colts</t>
        </is>
      </c>
      <c r="B15" s="4">
        <f>SUMPRODUCT((data!$A$2:$A$257=$A15)*(data!$G$2:$G$257=B$1)*data!$E$2:$E$257)+SUMPRODUCT((data!$B$2:$B$257=$A15)*(data!$H$2:$H$257=B$1)*data!$F$2:$F$257)</f>
        <v>1</v>
      </c>
      <c r="C15" s="4">
        <f>SUMPRODUCT((data!$A$2:$A$257=$A15)*(data!$G$2:$G$257=C$1)*data!$E$2:$E$257)+SUMPRODUCT((data!$B$2:$B$257=$A15)*(data!$H$2:$H$257=C$1)*data!$F$2:$F$257)</f>
        <v>1</v>
      </c>
      <c r="D15" s="4">
        <f>SUMPRODUCT((data!$A$2:$A$257=$A15)*(data!$G$2:$G$257=D$1)*data!$E$2:$E$257)+SUMPRODUCT((data!$B$2:$B$257=$A15)*(data!$H$2:$H$257=D$1)*data!$F$2:$F$257)</f>
        <v>1</v>
      </c>
      <c r="E15" s="4">
        <f>SUMPRODUCT((data!$A$2:$A$257=$A15)*(data!$G$2:$G$257=E$1)*data!$E$2:$E$257)+SUMPRODUCT((data!$B$2:$B$257=$A15)*(data!$H$2:$H$257=E$1)*data!$F$2:$F$257)</f>
        <v>1</v>
      </c>
      <c r="F15" s="4">
        <f>SUMPRODUCT((data!$A$2:$A$257=$A15)*(data!$G$2:$G$257=F$1)*data!$E$2:$E$257)+SUMPRODUCT((data!$B$2:$B$257=$A15)*(data!$H$2:$H$257=F$1)*data!$F$2:$F$257)</f>
        <v>1</v>
      </c>
      <c r="G15" s="4">
        <f>SUMPRODUCT((data!$A$2:$A$257=$A15)*(data!$G$2:$G$257=G$1)*data!$E$2:$E$257)+SUMPRODUCT((data!$B$2:$B$257=$A15)*(data!$H$2:$H$257=G$1)*data!$F$2:$F$257)</f>
        <v>1</v>
      </c>
      <c r="H15" s="4">
        <f>SUMPRODUCT((data!$A$2:$A$257=$A15)*(data!$G$2:$G$257=H$1)*data!$E$2:$E$257)+SUMPRODUCT((data!$B$2:$B$257=$A15)*(data!$H$2:$H$257=H$1)*data!$F$2:$F$257)</f>
        <v>1</v>
      </c>
      <c r="I15" s="4">
        <f>SUMPRODUCT((data!$A$2:$A$257=$A15)*(data!$G$2:$G$257=I$1)*data!$E$2:$E$257)+SUMPRODUCT((data!$B$2:$B$257=$A15)*(data!$H$2:$H$257=I$1)*data!$F$2:$F$257)</f>
        <v>1</v>
      </c>
      <c r="J15" s="4">
        <f>SUMPRODUCT((data!$A$2:$A$257=$A15)*(data!$G$2:$G$257=J$1)*data!$E$2:$E$257)+SUMPRODUCT((data!$B$2:$B$257=$A15)*(data!$H$2:$H$257=J$1)*data!$F$2:$F$257)</f>
        <v>1</v>
      </c>
      <c r="K15" s="4">
        <f>SUMPRODUCT((data!$A$2:$A$257=$A15)*(data!$G$2:$G$257=K$1)*data!$E$2:$E$257)+SUMPRODUCT((data!$B$2:$B$257=$A15)*(data!$H$2:$H$257=K$1)*data!$F$2:$F$257)</f>
        <v>1</v>
      </c>
      <c r="L15" s="4">
        <f>SUMPRODUCT((data!$A$2:$A$257=$A15)*(data!$G$2:$G$257=L$1)*data!$E$2:$E$257)+SUMPRODUCT((data!$B$2:$B$257=$A15)*(data!$H$2:$H$257=L$1)*data!$F$2:$F$257)</f>
        <v>1</v>
      </c>
      <c r="M15" s="4">
        <f>SUMPRODUCT((data!$A$2:$A$257=$A15)*(data!$G$2:$G$257=M$1)*data!$E$2:$E$257)+SUMPRODUCT((data!$B$2:$B$257=$A15)*(data!$H$2:$H$257=M$1)*data!$F$2:$F$257)</f>
        <v>1</v>
      </c>
      <c r="N15" s="4">
        <f>SUMPRODUCT((data!$A$2:$A$257=$A15)*(data!$G$2:$G$257=N$1)*data!$E$2:$E$257)+SUMPRODUCT((data!$B$2:$B$257=$A15)*(data!$H$2:$H$257=N$1)*data!$F$2:$F$257)</f>
        <v>1</v>
      </c>
      <c r="O15" s="4">
        <f>SUMPRODUCT((data!$A$2:$A$257=$A15)*(data!$G$2:$G$257=O$1)*data!$E$2:$E$257)+SUMPRODUCT((data!$B$2:$B$257=$A15)*(data!$H$2:$H$257=O$1)*data!$F$2:$F$257)</f>
        <v>1</v>
      </c>
      <c r="P15" s="4">
        <f>SUMPRODUCT((data!$A$2:$A$257=$A15)*(data!$G$2:$G$257=P$1)*data!$E$2:$E$257)+SUMPRODUCT((data!$B$2:$B$257=$A15)*(data!$H$2:$H$257=P$1)*data!$F$2:$F$257)</f>
        <v>-1</v>
      </c>
      <c r="Q15" s="4">
        <f>SUMPRODUCT((data!$A$2:$A$257=$A15)*(data!$G$2:$G$257=Q$1)*data!$E$2:$E$257)+SUMPRODUCT((data!$B$2:$B$257=$A15)*(data!$H$2:$H$257=Q$1)*data!$F$2:$F$257)</f>
        <v>-1</v>
      </c>
      <c r="S15">
        <f>COUNTIF(B15:Q15,1)</f>
        <v>14</v>
      </c>
      <c r="T15">
        <f>COUNTIF(B15:Q15,-1)</f>
        <v>2</v>
      </c>
    </row>
    <row r="16">
      <c r="A16" t="inlineStr">
        <is>
          <t>Jacksonville Jaguars</t>
        </is>
      </c>
      <c r="B16" s="4">
        <f>SUMPRODUCT((data!$A$2:$A$257=$A16)*(data!$G$2:$G$257=B$1)*data!$E$2:$E$257)+SUMPRODUCT((data!$B$2:$B$257=$A16)*(data!$H$2:$H$257=B$1)*data!$F$2:$F$257)</f>
        <v>-1</v>
      </c>
      <c r="C16" s="4">
        <f>SUMPRODUCT((data!$A$2:$A$257=$A16)*(data!$G$2:$G$257=C$1)*data!$E$2:$E$257)+SUMPRODUCT((data!$B$2:$B$257=$A16)*(data!$H$2:$H$257=C$1)*data!$F$2:$F$257)</f>
        <v>-1</v>
      </c>
      <c r="D16" s="4">
        <f>SUMPRODUCT((data!$A$2:$A$257=$A16)*(data!$G$2:$G$257=D$1)*data!$E$2:$E$257)+SUMPRODUCT((data!$B$2:$B$257=$A16)*(data!$H$2:$H$257=D$1)*data!$F$2:$F$257)</f>
        <v>1</v>
      </c>
      <c r="E16" s="4">
        <f>SUMPRODUCT((data!$A$2:$A$257=$A16)*(data!$G$2:$G$257=E$1)*data!$E$2:$E$257)+SUMPRODUCT((data!$B$2:$B$257=$A16)*(data!$H$2:$H$257=E$1)*data!$F$2:$F$257)</f>
        <v>1</v>
      </c>
      <c r="F16" s="4">
        <f>SUMPRODUCT((data!$A$2:$A$257=$A16)*(data!$G$2:$G$257=F$1)*data!$E$2:$E$257)+SUMPRODUCT((data!$B$2:$B$257=$A16)*(data!$H$2:$H$257=F$1)*data!$F$2:$F$257)</f>
        <v>-1</v>
      </c>
      <c r="G16" s="4">
        <f>SUMPRODUCT((data!$A$2:$A$257=$A16)*(data!$G$2:$G$257=G$1)*data!$E$2:$E$257)+SUMPRODUCT((data!$B$2:$B$257=$A16)*(data!$H$2:$H$257=G$1)*data!$F$2:$F$257)</f>
        <v>1</v>
      </c>
      <c r="H16" s="4">
        <f>SUMPRODUCT((data!$A$2:$A$257=$A16)*(data!$G$2:$G$257=H$1)*data!$E$2:$E$257)+SUMPRODUCT((data!$B$2:$B$257=$A16)*(data!$H$2:$H$257=H$1)*data!$F$2:$F$257)</f>
        <v>-1</v>
      </c>
      <c r="I16" s="4">
        <f>SUMPRODUCT((data!$A$2:$A$257=$A16)*(data!$G$2:$G$257=I$1)*data!$E$2:$E$257)+SUMPRODUCT((data!$B$2:$B$257=$A16)*(data!$H$2:$H$257=I$1)*data!$F$2:$F$257)</f>
        <v>1</v>
      </c>
      <c r="J16" s="4">
        <f>SUMPRODUCT((data!$A$2:$A$257=$A16)*(data!$G$2:$G$257=J$1)*data!$E$2:$E$257)+SUMPRODUCT((data!$B$2:$B$257=$A16)*(data!$H$2:$H$257=J$1)*data!$F$2:$F$257)</f>
        <v>1</v>
      </c>
      <c r="K16" s="4">
        <f>SUMPRODUCT((data!$A$2:$A$257=$A16)*(data!$G$2:$G$257=K$1)*data!$E$2:$E$257)+SUMPRODUCT((data!$B$2:$B$257=$A16)*(data!$H$2:$H$257=K$1)*data!$F$2:$F$257)</f>
        <v>1</v>
      </c>
      <c r="L16" s="4">
        <f>SUMPRODUCT((data!$A$2:$A$257=$A16)*(data!$G$2:$G$257=L$1)*data!$E$2:$E$257)+SUMPRODUCT((data!$B$2:$B$257=$A16)*(data!$H$2:$H$257=L$1)*data!$F$2:$F$257)</f>
        <v>-1</v>
      </c>
      <c r="M16" s="4">
        <f>SUMPRODUCT((data!$A$2:$A$257=$A16)*(data!$G$2:$G$257=M$1)*data!$E$2:$E$257)+SUMPRODUCT((data!$B$2:$B$257=$A16)*(data!$H$2:$H$257=M$1)*data!$F$2:$F$257)</f>
        <v>1</v>
      </c>
      <c r="N16" s="4">
        <f>SUMPRODUCT((data!$A$2:$A$257=$A16)*(data!$G$2:$G$257=N$1)*data!$E$2:$E$257)+SUMPRODUCT((data!$B$2:$B$257=$A16)*(data!$H$2:$H$257=N$1)*data!$F$2:$F$257)</f>
        <v>-1</v>
      </c>
      <c r="O16" s="4">
        <f>SUMPRODUCT((data!$A$2:$A$257=$A16)*(data!$G$2:$G$257=O$1)*data!$E$2:$E$257)+SUMPRODUCT((data!$B$2:$B$257=$A16)*(data!$H$2:$H$257=O$1)*data!$F$2:$F$257)</f>
        <v>-1</v>
      </c>
      <c r="P16" s="4">
        <f>SUMPRODUCT((data!$A$2:$A$257=$A16)*(data!$G$2:$G$257=P$1)*data!$E$2:$E$257)+SUMPRODUCT((data!$B$2:$B$257=$A16)*(data!$H$2:$H$257=P$1)*data!$F$2:$F$257)</f>
        <v>-1</v>
      </c>
      <c r="Q16" s="4">
        <f>SUMPRODUCT((data!$A$2:$A$257=$A16)*(data!$G$2:$G$257=Q$1)*data!$E$2:$E$257)+SUMPRODUCT((data!$B$2:$B$257=$A16)*(data!$H$2:$H$257=Q$1)*data!$F$2:$F$257)</f>
        <v>-1</v>
      </c>
      <c r="S16">
        <f>COUNTIF(B16:Q16,1)</f>
        <v>7</v>
      </c>
      <c r="T16">
        <f>COUNTIF(B16:Q16,-1)</f>
        <v>9</v>
      </c>
    </row>
    <row r="17">
      <c r="A17" t="inlineStr">
        <is>
          <t>Kansas City Chiefs</t>
        </is>
      </c>
      <c r="B17" s="4">
        <f>SUMPRODUCT((data!$A$2:$A$257=$A17)*(data!$G$2:$G$257=B$1)*data!$E$2:$E$257)+SUMPRODUCT((data!$B$2:$B$257=$A17)*(data!$H$2:$H$257=B$1)*data!$F$2:$F$257)</f>
        <v>-1</v>
      </c>
      <c r="C17" s="4">
        <f>SUMPRODUCT((data!$A$2:$A$257=$A17)*(data!$G$2:$G$257=C$1)*data!$E$2:$E$257)+SUMPRODUCT((data!$B$2:$B$257=$A17)*(data!$H$2:$H$257=C$1)*data!$F$2:$F$257)</f>
        <v>-1</v>
      </c>
      <c r="D17" s="4">
        <f>SUMPRODUCT((data!$A$2:$A$257=$A17)*(data!$G$2:$G$257=D$1)*data!$E$2:$E$257)+SUMPRODUCT((data!$B$2:$B$257=$A17)*(data!$H$2:$H$257=D$1)*data!$F$2:$F$257)</f>
        <v>-1</v>
      </c>
      <c r="E17" s="4">
        <f>SUMPRODUCT((data!$A$2:$A$257=$A17)*(data!$G$2:$G$257=E$1)*data!$E$2:$E$257)+SUMPRODUCT((data!$B$2:$B$257=$A17)*(data!$H$2:$H$257=E$1)*data!$F$2:$F$257)</f>
        <v>-1</v>
      </c>
      <c r="F17" s="4">
        <f>SUMPRODUCT((data!$A$2:$A$257=$A17)*(data!$G$2:$G$257=F$1)*data!$E$2:$E$257)+SUMPRODUCT((data!$B$2:$B$257=$A17)*(data!$H$2:$H$257=F$1)*data!$F$2:$F$257)</f>
        <v>-1</v>
      </c>
      <c r="G17" s="4">
        <f>SUMPRODUCT((data!$A$2:$A$257=$A17)*(data!$G$2:$G$257=G$1)*data!$E$2:$E$257)+SUMPRODUCT((data!$B$2:$B$257=$A17)*(data!$H$2:$H$257=G$1)*data!$F$2:$F$257)</f>
        <v>1</v>
      </c>
      <c r="H17" s="4">
        <f>SUMPRODUCT((data!$A$2:$A$257=$A17)*(data!$G$2:$G$257=H$1)*data!$E$2:$E$257)+SUMPRODUCT((data!$B$2:$B$257=$A17)*(data!$H$2:$H$257=H$1)*data!$F$2:$F$257)</f>
        <v>-1</v>
      </c>
      <c r="I17" s="4">
        <f>SUMPRODUCT((data!$A$2:$A$257=$A17)*(data!$G$2:$G$257=I$1)*data!$E$2:$E$257)+SUMPRODUCT((data!$B$2:$B$257=$A17)*(data!$H$2:$H$257=I$1)*data!$F$2:$F$257)</f>
        <v>-1</v>
      </c>
      <c r="J17" s="4">
        <f>SUMPRODUCT((data!$A$2:$A$257=$A17)*(data!$G$2:$G$257=J$1)*data!$E$2:$E$257)+SUMPRODUCT((data!$B$2:$B$257=$A17)*(data!$H$2:$H$257=J$1)*data!$F$2:$F$257)</f>
        <v>1</v>
      </c>
      <c r="K17" s="4">
        <f>SUMPRODUCT((data!$A$2:$A$257=$A17)*(data!$G$2:$G$257=K$1)*data!$E$2:$E$257)+SUMPRODUCT((data!$B$2:$B$257=$A17)*(data!$H$2:$H$257=K$1)*data!$F$2:$F$257)</f>
        <v>1</v>
      </c>
      <c r="L17" s="4">
        <f>SUMPRODUCT((data!$A$2:$A$257=$A17)*(data!$G$2:$G$257=L$1)*data!$E$2:$E$257)+SUMPRODUCT((data!$B$2:$B$257=$A17)*(data!$H$2:$H$257=L$1)*data!$F$2:$F$257)</f>
        <v>-1</v>
      </c>
      <c r="M17" s="4">
        <f>SUMPRODUCT((data!$A$2:$A$257=$A17)*(data!$G$2:$G$257=M$1)*data!$E$2:$E$257)+SUMPRODUCT((data!$B$2:$B$257=$A17)*(data!$H$2:$H$257=M$1)*data!$F$2:$F$257)</f>
        <v>-1</v>
      </c>
      <c r="N17" s="4">
        <f>SUMPRODUCT((data!$A$2:$A$257=$A17)*(data!$G$2:$G$257=N$1)*data!$E$2:$E$257)+SUMPRODUCT((data!$B$2:$B$257=$A17)*(data!$H$2:$H$257=N$1)*data!$F$2:$F$257)</f>
        <v>-1</v>
      </c>
      <c r="O17" s="4">
        <f>SUMPRODUCT((data!$A$2:$A$257=$A17)*(data!$G$2:$G$257=O$1)*data!$E$2:$E$257)+SUMPRODUCT((data!$B$2:$B$257=$A17)*(data!$H$2:$H$257=O$1)*data!$F$2:$F$257)</f>
        <v>-1</v>
      </c>
      <c r="P17" s="4">
        <f>SUMPRODUCT((data!$A$2:$A$257=$A17)*(data!$G$2:$G$257=P$1)*data!$E$2:$E$257)+SUMPRODUCT((data!$B$2:$B$257=$A17)*(data!$H$2:$H$257=P$1)*data!$F$2:$F$257)</f>
        <v>-1</v>
      </c>
      <c r="Q17" s="4">
        <f>SUMPRODUCT((data!$A$2:$A$257=$A17)*(data!$G$2:$G$257=Q$1)*data!$E$2:$E$257)+SUMPRODUCT((data!$B$2:$B$257=$A17)*(data!$H$2:$H$257=Q$1)*data!$F$2:$F$257)</f>
        <v>1</v>
      </c>
      <c r="S17">
        <f>COUNTIF(B17:Q17,1)</f>
        <v>4</v>
      </c>
      <c r="T17">
        <f>COUNTIF(B17:Q17,-1)</f>
        <v>12</v>
      </c>
    </row>
    <row r="18">
      <c r="A18" t="inlineStr">
        <is>
          <t>Miami Dolphins</t>
        </is>
      </c>
      <c r="B18" s="4">
        <f>SUMPRODUCT((data!$A$2:$A$257=$A18)*(data!$G$2:$G$257=B$1)*data!$E$2:$E$257)+SUMPRODUCT((data!$B$2:$B$257=$A18)*(data!$H$2:$H$257=B$1)*data!$F$2:$F$257)</f>
        <v>-1</v>
      </c>
      <c r="C18" s="4">
        <f>SUMPRODUCT((data!$A$2:$A$257=$A18)*(data!$G$2:$G$257=C$1)*data!$E$2:$E$257)+SUMPRODUCT((data!$B$2:$B$257=$A18)*(data!$H$2:$H$257=C$1)*data!$F$2:$F$257)</f>
        <v>-1</v>
      </c>
      <c r="D18" s="4">
        <f>SUMPRODUCT((data!$A$2:$A$257=$A18)*(data!$G$2:$G$257=D$1)*data!$E$2:$E$257)+SUMPRODUCT((data!$B$2:$B$257=$A18)*(data!$H$2:$H$257=D$1)*data!$F$2:$F$257)</f>
        <v>-1</v>
      </c>
      <c r="E18" s="4">
        <f>SUMPRODUCT((data!$A$2:$A$257=$A18)*(data!$G$2:$G$257=E$1)*data!$E$2:$E$257)+SUMPRODUCT((data!$B$2:$B$257=$A18)*(data!$H$2:$H$257=E$1)*data!$F$2:$F$257)</f>
        <v>1</v>
      </c>
      <c r="F18" s="4">
        <f>SUMPRODUCT((data!$A$2:$A$257=$A18)*(data!$G$2:$G$257=F$1)*data!$E$2:$E$257)+SUMPRODUCT((data!$B$2:$B$257=$A18)*(data!$H$2:$H$257=F$1)*data!$F$2:$F$257)</f>
        <v>1</v>
      </c>
      <c r="G18" s="4">
        <f>SUMPRODUCT((data!$A$2:$A$257=$A18)*(data!$G$2:$G$257=G$1)*data!$E$2:$E$257)+SUMPRODUCT((data!$B$2:$B$257=$A18)*(data!$H$2:$H$257=G$1)*data!$F$2:$F$257)</f>
        <v>-1</v>
      </c>
      <c r="H18" s="4">
        <f>SUMPRODUCT((data!$A$2:$A$257=$A18)*(data!$G$2:$G$257=H$1)*data!$E$2:$E$257)+SUMPRODUCT((data!$B$2:$B$257=$A18)*(data!$H$2:$H$257=H$1)*data!$F$2:$F$257)</f>
        <v>1</v>
      </c>
      <c r="I18" s="4">
        <f>SUMPRODUCT((data!$A$2:$A$257=$A18)*(data!$G$2:$G$257=I$1)*data!$E$2:$E$257)+SUMPRODUCT((data!$B$2:$B$257=$A18)*(data!$H$2:$H$257=I$1)*data!$F$2:$F$257)</f>
        <v>-1</v>
      </c>
      <c r="J18" s="4">
        <f>SUMPRODUCT((data!$A$2:$A$257=$A18)*(data!$G$2:$G$257=J$1)*data!$E$2:$E$257)+SUMPRODUCT((data!$B$2:$B$257=$A18)*(data!$H$2:$H$257=J$1)*data!$F$2:$F$257)</f>
        <v>1</v>
      </c>
      <c r="K18" s="4">
        <f>SUMPRODUCT((data!$A$2:$A$257=$A18)*(data!$G$2:$G$257=K$1)*data!$E$2:$E$257)+SUMPRODUCT((data!$B$2:$B$257=$A18)*(data!$H$2:$H$257=K$1)*data!$F$2:$F$257)</f>
        <v>1</v>
      </c>
      <c r="L18" s="4">
        <f>SUMPRODUCT((data!$A$2:$A$257=$A18)*(data!$G$2:$G$257=L$1)*data!$E$2:$E$257)+SUMPRODUCT((data!$B$2:$B$257=$A18)*(data!$H$2:$H$257=L$1)*data!$F$2:$F$257)</f>
        <v>-1</v>
      </c>
      <c r="M18" s="4">
        <f>SUMPRODUCT((data!$A$2:$A$257=$A18)*(data!$G$2:$G$257=M$1)*data!$E$2:$E$257)+SUMPRODUCT((data!$B$2:$B$257=$A18)*(data!$H$2:$H$257=M$1)*data!$F$2:$F$257)</f>
        <v>1</v>
      </c>
      <c r="N18" s="4">
        <f>SUMPRODUCT((data!$A$2:$A$257=$A18)*(data!$G$2:$G$257=N$1)*data!$E$2:$E$257)+SUMPRODUCT((data!$B$2:$B$257=$A18)*(data!$H$2:$H$257=N$1)*data!$F$2:$F$257)</f>
        <v>1</v>
      </c>
      <c r="O18" s="4">
        <f>SUMPRODUCT((data!$A$2:$A$257=$A18)*(data!$G$2:$G$257=O$1)*data!$E$2:$E$257)+SUMPRODUCT((data!$B$2:$B$257=$A18)*(data!$H$2:$H$257=O$1)*data!$F$2:$F$257)</f>
        <v>-1</v>
      </c>
      <c r="P18" s="4">
        <f>SUMPRODUCT((data!$A$2:$A$257=$A18)*(data!$G$2:$G$257=P$1)*data!$E$2:$E$257)+SUMPRODUCT((data!$B$2:$B$257=$A18)*(data!$H$2:$H$257=P$1)*data!$F$2:$F$257)</f>
        <v>-1</v>
      </c>
      <c r="Q18" s="4">
        <f>SUMPRODUCT((data!$A$2:$A$257=$A18)*(data!$G$2:$G$257=Q$1)*data!$E$2:$E$257)+SUMPRODUCT((data!$B$2:$B$257=$A18)*(data!$H$2:$H$257=Q$1)*data!$F$2:$F$257)</f>
        <v>-1</v>
      </c>
      <c r="S18">
        <f>COUNTIF(B18:Q18,1)</f>
        <v>7</v>
      </c>
      <c r="T18">
        <f>COUNTIF(B18:Q18,-1)</f>
        <v>9</v>
      </c>
    </row>
    <row r="19">
      <c r="A19" t="inlineStr">
        <is>
          <t>Minnesota Vikings</t>
        </is>
      </c>
      <c r="B19" s="4">
        <f>SUMPRODUCT((data!$A$2:$A$257=$A19)*(data!$G$2:$G$257=B$1)*data!$E$2:$E$257)+SUMPRODUCT((data!$B$2:$B$257=$A19)*(data!$H$2:$H$257=B$1)*data!$F$2:$F$257)</f>
        <v>1</v>
      </c>
      <c r="C19" s="4">
        <f>SUMPRODUCT((data!$A$2:$A$257=$A19)*(data!$G$2:$G$257=C$1)*data!$E$2:$E$257)+SUMPRODUCT((data!$B$2:$B$257=$A19)*(data!$H$2:$H$257=C$1)*data!$F$2:$F$257)</f>
        <v>1</v>
      </c>
      <c r="D19" s="4">
        <f>SUMPRODUCT((data!$A$2:$A$257=$A19)*(data!$G$2:$G$257=D$1)*data!$E$2:$E$257)+SUMPRODUCT((data!$B$2:$B$257=$A19)*(data!$H$2:$H$257=D$1)*data!$F$2:$F$257)</f>
        <v>1</v>
      </c>
      <c r="E19" s="4">
        <f>SUMPRODUCT((data!$A$2:$A$257=$A19)*(data!$G$2:$G$257=E$1)*data!$E$2:$E$257)+SUMPRODUCT((data!$B$2:$B$257=$A19)*(data!$H$2:$H$257=E$1)*data!$F$2:$F$257)</f>
        <v>1</v>
      </c>
      <c r="F19" s="4">
        <f>SUMPRODUCT((data!$A$2:$A$257=$A19)*(data!$G$2:$G$257=F$1)*data!$E$2:$E$257)+SUMPRODUCT((data!$B$2:$B$257=$A19)*(data!$H$2:$H$257=F$1)*data!$F$2:$F$257)</f>
        <v>1</v>
      </c>
      <c r="G19" s="4">
        <f>SUMPRODUCT((data!$A$2:$A$257=$A19)*(data!$G$2:$G$257=G$1)*data!$E$2:$E$257)+SUMPRODUCT((data!$B$2:$B$257=$A19)*(data!$H$2:$H$257=G$1)*data!$F$2:$F$257)</f>
        <v>1</v>
      </c>
      <c r="H19" s="4">
        <f>SUMPRODUCT((data!$A$2:$A$257=$A19)*(data!$G$2:$G$257=H$1)*data!$E$2:$E$257)+SUMPRODUCT((data!$B$2:$B$257=$A19)*(data!$H$2:$H$257=H$1)*data!$F$2:$F$257)</f>
        <v>-1</v>
      </c>
      <c r="I19" s="4">
        <f>SUMPRODUCT((data!$A$2:$A$257=$A19)*(data!$G$2:$G$257=I$1)*data!$E$2:$E$257)+SUMPRODUCT((data!$B$2:$B$257=$A19)*(data!$H$2:$H$257=I$1)*data!$F$2:$F$257)</f>
        <v>1</v>
      </c>
      <c r="J19" s="4">
        <f>SUMPRODUCT((data!$A$2:$A$257=$A19)*(data!$G$2:$G$257=J$1)*data!$E$2:$E$257)+SUMPRODUCT((data!$B$2:$B$257=$A19)*(data!$H$2:$H$257=J$1)*data!$F$2:$F$257)</f>
        <v>1</v>
      </c>
      <c r="K19" s="4">
        <f>SUMPRODUCT((data!$A$2:$A$257=$A19)*(data!$G$2:$G$257=K$1)*data!$E$2:$E$257)+SUMPRODUCT((data!$B$2:$B$257=$A19)*(data!$H$2:$H$257=K$1)*data!$F$2:$F$257)</f>
        <v>1</v>
      </c>
      <c r="L19" s="4">
        <f>SUMPRODUCT((data!$A$2:$A$257=$A19)*(data!$G$2:$G$257=L$1)*data!$E$2:$E$257)+SUMPRODUCT((data!$B$2:$B$257=$A19)*(data!$H$2:$H$257=L$1)*data!$F$2:$F$257)</f>
        <v>1</v>
      </c>
      <c r="M19" s="4">
        <f>SUMPRODUCT((data!$A$2:$A$257=$A19)*(data!$G$2:$G$257=M$1)*data!$E$2:$E$257)+SUMPRODUCT((data!$B$2:$B$257=$A19)*(data!$H$2:$H$257=M$1)*data!$F$2:$F$257)</f>
        <v>-1</v>
      </c>
      <c r="N19" s="4">
        <f>SUMPRODUCT((data!$A$2:$A$257=$A19)*(data!$G$2:$G$257=N$1)*data!$E$2:$E$257)+SUMPRODUCT((data!$B$2:$B$257=$A19)*(data!$H$2:$H$257=N$1)*data!$F$2:$F$257)</f>
        <v>1</v>
      </c>
      <c r="O19" s="4">
        <f>SUMPRODUCT((data!$A$2:$A$257=$A19)*(data!$G$2:$G$257=O$1)*data!$E$2:$E$257)+SUMPRODUCT((data!$B$2:$B$257=$A19)*(data!$H$2:$H$257=O$1)*data!$F$2:$F$257)</f>
        <v>-1</v>
      </c>
      <c r="P19" s="4">
        <f>SUMPRODUCT((data!$A$2:$A$257=$A19)*(data!$G$2:$G$257=P$1)*data!$E$2:$E$257)+SUMPRODUCT((data!$B$2:$B$257=$A19)*(data!$H$2:$H$257=P$1)*data!$F$2:$F$257)</f>
        <v>-1</v>
      </c>
      <c r="Q19" s="4">
        <f>SUMPRODUCT((data!$A$2:$A$257=$A19)*(data!$G$2:$G$257=Q$1)*data!$E$2:$E$257)+SUMPRODUCT((data!$B$2:$B$257=$A19)*(data!$H$2:$H$257=Q$1)*data!$F$2:$F$257)</f>
        <v>1</v>
      </c>
      <c r="S19">
        <f>COUNTIF(B19:Q19,1)</f>
        <v>12</v>
      </c>
      <c r="T19">
        <f>COUNTIF(B19:Q19,-1)</f>
        <v>4</v>
      </c>
    </row>
    <row r="20">
      <c r="A20" t="inlineStr">
        <is>
          <t>New England Patriots</t>
        </is>
      </c>
      <c r="B20" s="4">
        <f>SUMPRODUCT((data!$A$2:$A$257=$A20)*(data!$G$2:$G$257=B$1)*data!$E$2:$E$257)+SUMPRODUCT((data!$B$2:$B$257=$A20)*(data!$H$2:$H$257=B$1)*data!$F$2:$F$257)</f>
        <v>1</v>
      </c>
      <c r="C20" s="4">
        <f>SUMPRODUCT((data!$A$2:$A$257=$A20)*(data!$G$2:$G$257=C$1)*data!$E$2:$E$257)+SUMPRODUCT((data!$B$2:$B$257=$A20)*(data!$H$2:$H$257=C$1)*data!$F$2:$F$257)</f>
        <v>-1</v>
      </c>
      <c r="D20" s="4">
        <f>SUMPRODUCT((data!$A$2:$A$257=$A20)*(data!$G$2:$G$257=D$1)*data!$E$2:$E$257)+SUMPRODUCT((data!$B$2:$B$257=$A20)*(data!$H$2:$H$257=D$1)*data!$F$2:$F$257)</f>
        <v>1</v>
      </c>
      <c r="E20" s="4">
        <f>SUMPRODUCT((data!$A$2:$A$257=$A20)*(data!$G$2:$G$257=E$1)*data!$E$2:$E$257)+SUMPRODUCT((data!$B$2:$B$257=$A20)*(data!$H$2:$H$257=E$1)*data!$F$2:$F$257)</f>
        <v>1</v>
      </c>
      <c r="F20" s="4">
        <f>SUMPRODUCT((data!$A$2:$A$257=$A20)*(data!$G$2:$G$257=F$1)*data!$E$2:$E$257)+SUMPRODUCT((data!$B$2:$B$257=$A20)*(data!$H$2:$H$257=F$1)*data!$F$2:$F$257)</f>
        <v>-1</v>
      </c>
      <c r="G20" s="4">
        <f>SUMPRODUCT((data!$A$2:$A$257=$A20)*(data!$G$2:$G$257=G$1)*data!$E$2:$E$257)+SUMPRODUCT((data!$B$2:$B$257=$A20)*(data!$H$2:$H$257=G$1)*data!$F$2:$F$257)</f>
        <v>1</v>
      </c>
      <c r="H20" s="4">
        <f>SUMPRODUCT((data!$A$2:$A$257=$A20)*(data!$G$2:$G$257=H$1)*data!$E$2:$E$257)+SUMPRODUCT((data!$B$2:$B$257=$A20)*(data!$H$2:$H$257=H$1)*data!$F$2:$F$257)</f>
        <v>1</v>
      </c>
      <c r="I20" s="4">
        <f>SUMPRODUCT((data!$A$2:$A$257=$A20)*(data!$G$2:$G$257=I$1)*data!$E$2:$E$257)+SUMPRODUCT((data!$B$2:$B$257=$A20)*(data!$H$2:$H$257=I$1)*data!$F$2:$F$257)</f>
        <v>1</v>
      </c>
      <c r="J20" s="4">
        <f>SUMPRODUCT((data!$A$2:$A$257=$A20)*(data!$G$2:$G$257=J$1)*data!$E$2:$E$257)+SUMPRODUCT((data!$B$2:$B$257=$A20)*(data!$H$2:$H$257=J$1)*data!$F$2:$F$257)</f>
        <v>-1</v>
      </c>
      <c r="K20" s="4">
        <f>SUMPRODUCT((data!$A$2:$A$257=$A20)*(data!$G$2:$G$257=K$1)*data!$E$2:$E$257)+SUMPRODUCT((data!$B$2:$B$257=$A20)*(data!$H$2:$H$257=K$1)*data!$F$2:$F$257)</f>
        <v>1</v>
      </c>
      <c r="L20" s="4">
        <f>SUMPRODUCT((data!$A$2:$A$257=$A20)*(data!$G$2:$G$257=L$1)*data!$E$2:$E$257)+SUMPRODUCT((data!$B$2:$B$257=$A20)*(data!$H$2:$H$257=L$1)*data!$F$2:$F$257)</f>
        <v>-1</v>
      </c>
      <c r="M20" s="4">
        <f>SUMPRODUCT((data!$A$2:$A$257=$A20)*(data!$G$2:$G$257=M$1)*data!$E$2:$E$257)+SUMPRODUCT((data!$B$2:$B$257=$A20)*(data!$H$2:$H$257=M$1)*data!$F$2:$F$257)</f>
        <v>-1</v>
      </c>
      <c r="N20" s="4">
        <f>SUMPRODUCT((data!$A$2:$A$257=$A20)*(data!$G$2:$G$257=N$1)*data!$E$2:$E$257)+SUMPRODUCT((data!$B$2:$B$257=$A20)*(data!$H$2:$H$257=N$1)*data!$F$2:$F$257)</f>
        <v>1</v>
      </c>
      <c r="O20" s="4">
        <f>SUMPRODUCT((data!$A$2:$A$257=$A20)*(data!$G$2:$G$257=O$1)*data!$E$2:$E$257)+SUMPRODUCT((data!$B$2:$B$257=$A20)*(data!$H$2:$H$257=O$1)*data!$F$2:$F$257)</f>
        <v>1</v>
      </c>
      <c r="P20" s="4">
        <f>SUMPRODUCT((data!$A$2:$A$257=$A20)*(data!$G$2:$G$257=P$1)*data!$E$2:$E$257)+SUMPRODUCT((data!$B$2:$B$257=$A20)*(data!$H$2:$H$257=P$1)*data!$F$2:$F$257)</f>
        <v>1</v>
      </c>
      <c r="Q20" s="4">
        <f>SUMPRODUCT((data!$A$2:$A$257=$A20)*(data!$G$2:$G$257=Q$1)*data!$E$2:$E$257)+SUMPRODUCT((data!$B$2:$B$257=$A20)*(data!$H$2:$H$257=Q$1)*data!$F$2:$F$257)</f>
        <v>-1</v>
      </c>
      <c r="S20">
        <f>COUNTIF(B20:Q20,1)</f>
        <v>10</v>
      </c>
      <c r="T20">
        <f>COUNTIF(B20:Q20,-1)</f>
        <v>6</v>
      </c>
    </row>
    <row r="21">
      <c r="A21" t="inlineStr">
        <is>
          <t>New Orleans Saints</t>
        </is>
      </c>
      <c r="B21" s="4">
        <f>SUMPRODUCT((data!$A$2:$A$257=$A21)*(data!$G$2:$G$257=B$1)*data!$E$2:$E$257)+SUMPRODUCT((data!$B$2:$B$257=$A21)*(data!$H$2:$H$257=B$1)*data!$F$2:$F$257)</f>
        <v>1</v>
      </c>
      <c r="C21" s="4">
        <f>SUMPRODUCT((data!$A$2:$A$257=$A21)*(data!$G$2:$G$257=C$1)*data!$E$2:$E$257)+SUMPRODUCT((data!$B$2:$B$257=$A21)*(data!$H$2:$H$257=C$1)*data!$F$2:$F$257)</f>
        <v>1</v>
      </c>
      <c r="D21" s="4">
        <f>SUMPRODUCT((data!$A$2:$A$257=$A21)*(data!$G$2:$G$257=D$1)*data!$E$2:$E$257)+SUMPRODUCT((data!$B$2:$B$257=$A21)*(data!$H$2:$H$257=D$1)*data!$F$2:$F$257)</f>
        <v>1</v>
      </c>
      <c r="E21" s="4">
        <f>SUMPRODUCT((data!$A$2:$A$257=$A21)*(data!$G$2:$G$257=E$1)*data!$E$2:$E$257)+SUMPRODUCT((data!$B$2:$B$257=$A21)*(data!$H$2:$H$257=E$1)*data!$F$2:$F$257)</f>
        <v>1</v>
      </c>
      <c r="F21" s="4">
        <f>SUMPRODUCT((data!$A$2:$A$257=$A21)*(data!$G$2:$G$257=F$1)*data!$E$2:$E$257)+SUMPRODUCT((data!$B$2:$B$257=$A21)*(data!$H$2:$H$257=F$1)*data!$F$2:$F$257)</f>
        <v>1</v>
      </c>
      <c r="G21" s="4">
        <f>SUMPRODUCT((data!$A$2:$A$257=$A21)*(data!$G$2:$G$257=G$1)*data!$E$2:$E$257)+SUMPRODUCT((data!$B$2:$B$257=$A21)*(data!$H$2:$H$257=G$1)*data!$F$2:$F$257)</f>
        <v>1</v>
      </c>
      <c r="H21" s="4">
        <f>SUMPRODUCT((data!$A$2:$A$257=$A21)*(data!$G$2:$G$257=H$1)*data!$E$2:$E$257)+SUMPRODUCT((data!$B$2:$B$257=$A21)*(data!$H$2:$H$257=H$1)*data!$F$2:$F$257)</f>
        <v>1</v>
      </c>
      <c r="I21" s="4">
        <f>SUMPRODUCT((data!$A$2:$A$257=$A21)*(data!$G$2:$G$257=I$1)*data!$E$2:$E$257)+SUMPRODUCT((data!$B$2:$B$257=$A21)*(data!$H$2:$H$257=I$1)*data!$F$2:$F$257)</f>
        <v>1</v>
      </c>
      <c r="J21" s="4">
        <f>SUMPRODUCT((data!$A$2:$A$257=$A21)*(data!$G$2:$G$257=J$1)*data!$E$2:$E$257)+SUMPRODUCT((data!$B$2:$B$257=$A21)*(data!$H$2:$H$257=J$1)*data!$F$2:$F$257)</f>
        <v>1</v>
      </c>
      <c r="K21" s="4">
        <f>SUMPRODUCT((data!$A$2:$A$257=$A21)*(data!$G$2:$G$257=K$1)*data!$E$2:$E$257)+SUMPRODUCT((data!$B$2:$B$257=$A21)*(data!$H$2:$H$257=K$1)*data!$F$2:$F$257)</f>
        <v>1</v>
      </c>
      <c r="L21" s="4">
        <f>SUMPRODUCT((data!$A$2:$A$257=$A21)*(data!$G$2:$G$257=L$1)*data!$E$2:$E$257)+SUMPRODUCT((data!$B$2:$B$257=$A21)*(data!$H$2:$H$257=L$1)*data!$F$2:$F$257)</f>
        <v>1</v>
      </c>
      <c r="M21" s="4">
        <f>SUMPRODUCT((data!$A$2:$A$257=$A21)*(data!$G$2:$G$257=M$1)*data!$E$2:$E$257)+SUMPRODUCT((data!$B$2:$B$257=$A21)*(data!$H$2:$H$257=M$1)*data!$F$2:$F$257)</f>
        <v>1</v>
      </c>
      <c r="N21" s="4">
        <f>SUMPRODUCT((data!$A$2:$A$257=$A21)*(data!$G$2:$G$257=N$1)*data!$E$2:$E$257)+SUMPRODUCT((data!$B$2:$B$257=$A21)*(data!$H$2:$H$257=N$1)*data!$F$2:$F$257)</f>
        <v>1</v>
      </c>
      <c r="O21" s="4">
        <f>SUMPRODUCT((data!$A$2:$A$257=$A21)*(data!$G$2:$G$257=O$1)*data!$E$2:$E$257)+SUMPRODUCT((data!$B$2:$B$257=$A21)*(data!$H$2:$H$257=O$1)*data!$F$2:$F$257)</f>
        <v>-1</v>
      </c>
      <c r="P21" s="4">
        <f>SUMPRODUCT((data!$A$2:$A$257=$A21)*(data!$G$2:$G$257=P$1)*data!$E$2:$E$257)+SUMPRODUCT((data!$B$2:$B$257=$A21)*(data!$H$2:$H$257=P$1)*data!$F$2:$F$257)</f>
        <v>-1</v>
      </c>
      <c r="Q21" s="4">
        <f>SUMPRODUCT((data!$A$2:$A$257=$A21)*(data!$G$2:$G$257=Q$1)*data!$E$2:$E$257)+SUMPRODUCT((data!$B$2:$B$257=$A21)*(data!$H$2:$H$257=Q$1)*data!$F$2:$F$257)</f>
        <v>-1</v>
      </c>
      <c r="S21">
        <f>COUNTIF(B21:Q21,1)</f>
        <v>13</v>
      </c>
      <c r="T21">
        <f>COUNTIF(B21:Q21,-1)</f>
        <v>3</v>
      </c>
    </row>
    <row r="22">
      <c r="A22" t="inlineStr">
        <is>
          <t>New York Giants</t>
        </is>
      </c>
      <c r="B22" s="4">
        <f>SUMPRODUCT((data!$A$2:$A$257=$A22)*(data!$G$2:$G$257=B$1)*data!$E$2:$E$257)+SUMPRODUCT((data!$B$2:$B$257=$A22)*(data!$H$2:$H$257=B$1)*data!$F$2:$F$257)</f>
        <v>1</v>
      </c>
      <c r="C22" s="4">
        <f>SUMPRODUCT((data!$A$2:$A$257=$A22)*(data!$G$2:$G$257=C$1)*data!$E$2:$E$257)+SUMPRODUCT((data!$B$2:$B$257=$A22)*(data!$H$2:$H$257=C$1)*data!$F$2:$F$257)</f>
        <v>1</v>
      </c>
      <c r="D22" s="4">
        <f>SUMPRODUCT((data!$A$2:$A$257=$A22)*(data!$G$2:$G$257=D$1)*data!$E$2:$E$257)+SUMPRODUCT((data!$B$2:$B$257=$A22)*(data!$H$2:$H$257=D$1)*data!$F$2:$F$257)</f>
        <v>1</v>
      </c>
      <c r="E22" s="4">
        <f>SUMPRODUCT((data!$A$2:$A$257=$A22)*(data!$G$2:$G$257=E$1)*data!$E$2:$E$257)+SUMPRODUCT((data!$B$2:$B$257=$A22)*(data!$H$2:$H$257=E$1)*data!$F$2:$F$257)</f>
        <v>1</v>
      </c>
      <c r="F22" s="4">
        <f>SUMPRODUCT((data!$A$2:$A$257=$A22)*(data!$G$2:$G$257=F$1)*data!$E$2:$E$257)+SUMPRODUCT((data!$B$2:$B$257=$A22)*(data!$H$2:$H$257=F$1)*data!$F$2:$F$257)</f>
        <v>1</v>
      </c>
      <c r="G22" s="4">
        <f>SUMPRODUCT((data!$A$2:$A$257=$A22)*(data!$G$2:$G$257=G$1)*data!$E$2:$E$257)+SUMPRODUCT((data!$B$2:$B$257=$A22)*(data!$H$2:$H$257=G$1)*data!$F$2:$F$257)</f>
        <v>-1</v>
      </c>
      <c r="H22" s="4">
        <f>SUMPRODUCT((data!$A$2:$A$257=$A22)*(data!$G$2:$G$257=H$1)*data!$E$2:$E$257)+SUMPRODUCT((data!$B$2:$B$257=$A22)*(data!$H$2:$H$257=H$1)*data!$F$2:$F$257)</f>
        <v>-1</v>
      </c>
      <c r="I22" s="4">
        <f>SUMPRODUCT((data!$A$2:$A$257=$A22)*(data!$G$2:$G$257=I$1)*data!$E$2:$E$257)+SUMPRODUCT((data!$B$2:$B$257=$A22)*(data!$H$2:$H$257=I$1)*data!$F$2:$F$257)</f>
        <v>-1</v>
      </c>
      <c r="J22" s="4">
        <f>SUMPRODUCT((data!$A$2:$A$257=$A22)*(data!$G$2:$G$257=J$1)*data!$E$2:$E$257)+SUMPRODUCT((data!$B$2:$B$257=$A22)*(data!$H$2:$H$257=J$1)*data!$F$2:$F$257)</f>
        <v>-1</v>
      </c>
      <c r="K22" s="4">
        <f>SUMPRODUCT((data!$A$2:$A$257=$A22)*(data!$G$2:$G$257=K$1)*data!$E$2:$E$257)+SUMPRODUCT((data!$B$2:$B$257=$A22)*(data!$H$2:$H$257=K$1)*data!$F$2:$F$257)</f>
        <v>1</v>
      </c>
      <c r="L22" s="4">
        <f>SUMPRODUCT((data!$A$2:$A$257=$A22)*(data!$G$2:$G$257=L$1)*data!$E$2:$E$257)+SUMPRODUCT((data!$B$2:$B$257=$A22)*(data!$H$2:$H$257=L$1)*data!$F$2:$F$257)</f>
        <v>-1</v>
      </c>
      <c r="M22" s="4">
        <f>SUMPRODUCT((data!$A$2:$A$257=$A22)*(data!$G$2:$G$257=M$1)*data!$E$2:$E$257)+SUMPRODUCT((data!$B$2:$B$257=$A22)*(data!$H$2:$H$257=M$1)*data!$F$2:$F$257)</f>
        <v>1</v>
      </c>
      <c r="N22" s="4">
        <f>SUMPRODUCT((data!$A$2:$A$257=$A22)*(data!$G$2:$G$257=N$1)*data!$E$2:$E$257)+SUMPRODUCT((data!$B$2:$B$257=$A22)*(data!$H$2:$H$257=N$1)*data!$F$2:$F$257)</f>
        <v>-1</v>
      </c>
      <c r="O22" s="4">
        <f>SUMPRODUCT((data!$A$2:$A$257=$A22)*(data!$G$2:$G$257=O$1)*data!$E$2:$E$257)+SUMPRODUCT((data!$B$2:$B$257=$A22)*(data!$H$2:$H$257=O$1)*data!$F$2:$F$257)</f>
        <v>1</v>
      </c>
      <c r="P22" s="4">
        <f>SUMPRODUCT((data!$A$2:$A$257=$A22)*(data!$G$2:$G$257=P$1)*data!$E$2:$E$257)+SUMPRODUCT((data!$B$2:$B$257=$A22)*(data!$H$2:$H$257=P$1)*data!$F$2:$F$257)</f>
        <v>-1</v>
      </c>
      <c r="Q22" s="4">
        <f>SUMPRODUCT((data!$A$2:$A$257=$A22)*(data!$G$2:$G$257=Q$1)*data!$E$2:$E$257)+SUMPRODUCT((data!$B$2:$B$257=$A22)*(data!$H$2:$H$257=Q$1)*data!$F$2:$F$257)</f>
        <v>-1</v>
      </c>
      <c r="S22">
        <f>COUNTIF(B22:Q22,1)</f>
        <v>8</v>
      </c>
      <c r="T22">
        <f>COUNTIF(B22:Q22,-1)</f>
        <v>8</v>
      </c>
    </row>
    <row r="23">
      <c r="A23" t="inlineStr">
        <is>
          <t>New York Jets</t>
        </is>
      </c>
      <c r="B23" s="4">
        <f>SUMPRODUCT((data!$A$2:$A$257=$A23)*(data!$G$2:$G$257=B$1)*data!$E$2:$E$257)+SUMPRODUCT((data!$B$2:$B$257=$A23)*(data!$H$2:$H$257=B$1)*data!$F$2:$F$257)</f>
        <v>1</v>
      </c>
      <c r="C23" s="4">
        <f>SUMPRODUCT((data!$A$2:$A$257=$A23)*(data!$G$2:$G$257=C$1)*data!$E$2:$E$257)+SUMPRODUCT((data!$B$2:$B$257=$A23)*(data!$H$2:$H$257=C$1)*data!$F$2:$F$257)</f>
        <v>1</v>
      </c>
      <c r="D23" s="4">
        <f>SUMPRODUCT((data!$A$2:$A$257=$A23)*(data!$G$2:$G$257=D$1)*data!$E$2:$E$257)+SUMPRODUCT((data!$B$2:$B$257=$A23)*(data!$H$2:$H$257=D$1)*data!$F$2:$F$257)</f>
        <v>1</v>
      </c>
      <c r="E23" s="4">
        <f>SUMPRODUCT((data!$A$2:$A$257=$A23)*(data!$G$2:$G$257=E$1)*data!$E$2:$E$257)+SUMPRODUCT((data!$B$2:$B$257=$A23)*(data!$H$2:$H$257=E$1)*data!$F$2:$F$257)</f>
        <v>-1</v>
      </c>
      <c r="F23" s="4">
        <f>SUMPRODUCT((data!$A$2:$A$257=$A23)*(data!$G$2:$G$257=F$1)*data!$E$2:$E$257)+SUMPRODUCT((data!$B$2:$B$257=$A23)*(data!$H$2:$H$257=F$1)*data!$F$2:$F$257)</f>
        <v>-1</v>
      </c>
      <c r="G23" s="4">
        <f>SUMPRODUCT((data!$A$2:$A$257=$A23)*(data!$G$2:$G$257=G$1)*data!$E$2:$E$257)+SUMPRODUCT((data!$B$2:$B$257=$A23)*(data!$H$2:$H$257=G$1)*data!$F$2:$F$257)</f>
        <v>-1</v>
      </c>
      <c r="H23" s="4">
        <f>SUMPRODUCT((data!$A$2:$A$257=$A23)*(data!$G$2:$G$257=H$1)*data!$E$2:$E$257)+SUMPRODUCT((data!$B$2:$B$257=$A23)*(data!$H$2:$H$257=H$1)*data!$F$2:$F$257)</f>
        <v>1</v>
      </c>
      <c r="I23" s="4">
        <f>SUMPRODUCT((data!$A$2:$A$257=$A23)*(data!$G$2:$G$257=I$1)*data!$E$2:$E$257)+SUMPRODUCT((data!$B$2:$B$257=$A23)*(data!$H$2:$H$257=I$1)*data!$F$2:$F$257)</f>
        <v>-1</v>
      </c>
      <c r="J23" s="4">
        <f>SUMPRODUCT((data!$A$2:$A$257=$A23)*(data!$G$2:$G$257=J$1)*data!$E$2:$E$257)+SUMPRODUCT((data!$B$2:$B$257=$A23)*(data!$H$2:$H$257=J$1)*data!$F$2:$F$257)</f>
        <v>-1</v>
      </c>
      <c r="K23" s="4">
        <f>SUMPRODUCT((data!$A$2:$A$257=$A23)*(data!$G$2:$G$257=K$1)*data!$E$2:$E$257)+SUMPRODUCT((data!$B$2:$B$257=$A23)*(data!$H$2:$H$257=K$1)*data!$F$2:$F$257)</f>
        <v>-1</v>
      </c>
      <c r="L23" s="4">
        <f>SUMPRODUCT((data!$A$2:$A$257=$A23)*(data!$G$2:$G$257=L$1)*data!$E$2:$E$257)+SUMPRODUCT((data!$B$2:$B$257=$A23)*(data!$H$2:$H$257=L$1)*data!$F$2:$F$257)</f>
        <v>1</v>
      </c>
      <c r="M23" s="4">
        <f>SUMPRODUCT((data!$A$2:$A$257=$A23)*(data!$G$2:$G$257=M$1)*data!$E$2:$E$257)+SUMPRODUCT((data!$B$2:$B$257=$A23)*(data!$H$2:$H$257=M$1)*data!$F$2:$F$257)</f>
        <v>1</v>
      </c>
      <c r="N23" s="4">
        <f>SUMPRODUCT((data!$A$2:$A$257=$A23)*(data!$G$2:$G$257=N$1)*data!$E$2:$E$257)+SUMPRODUCT((data!$B$2:$B$257=$A23)*(data!$H$2:$H$257=N$1)*data!$F$2:$F$257)</f>
        <v>1</v>
      </c>
      <c r="O23" s="4">
        <f>SUMPRODUCT((data!$A$2:$A$257=$A23)*(data!$G$2:$G$257=O$1)*data!$E$2:$E$257)+SUMPRODUCT((data!$B$2:$B$257=$A23)*(data!$H$2:$H$257=O$1)*data!$F$2:$F$257)</f>
        <v>-1</v>
      </c>
      <c r="P23" s="4">
        <f>SUMPRODUCT((data!$A$2:$A$257=$A23)*(data!$G$2:$G$257=P$1)*data!$E$2:$E$257)+SUMPRODUCT((data!$B$2:$B$257=$A23)*(data!$H$2:$H$257=P$1)*data!$F$2:$F$257)</f>
        <v>1</v>
      </c>
      <c r="Q23" s="4">
        <f>SUMPRODUCT((data!$A$2:$A$257=$A23)*(data!$G$2:$G$257=Q$1)*data!$E$2:$E$257)+SUMPRODUCT((data!$B$2:$B$257=$A23)*(data!$H$2:$H$257=Q$1)*data!$F$2:$F$257)</f>
        <v>1</v>
      </c>
      <c r="S23">
        <f>COUNTIF(B23:Q23,1)</f>
        <v>9</v>
      </c>
      <c r="T23">
        <f>COUNTIF(B23:Q23,-1)</f>
        <v>7</v>
      </c>
    </row>
    <row r="24">
      <c r="A24" t="inlineStr">
        <is>
          <t>Oakland Raiders</t>
        </is>
      </c>
      <c r="B24" s="4">
        <f>SUMPRODUCT((data!$A$2:$A$257=$A24)*(data!$G$2:$G$257=B$1)*data!$E$2:$E$257)+SUMPRODUCT((data!$B$2:$B$257=$A24)*(data!$H$2:$H$257=B$1)*data!$F$2:$F$257)</f>
        <v>-1</v>
      </c>
      <c r="C24" s="4">
        <f>SUMPRODUCT((data!$A$2:$A$257=$A24)*(data!$G$2:$G$257=C$1)*data!$E$2:$E$257)+SUMPRODUCT((data!$B$2:$B$257=$A24)*(data!$H$2:$H$257=C$1)*data!$F$2:$F$257)</f>
        <v>1</v>
      </c>
      <c r="D24" s="4">
        <f>SUMPRODUCT((data!$A$2:$A$257=$A24)*(data!$G$2:$G$257=D$1)*data!$E$2:$E$257)+SUMPRODUCT((data!$B$2:$B$257=$A24)*(data!$H$2:$H$257=D$1)*data!$F$2:$F$257)</f>
        <v>-1</v>
      </c>
      <c r="E24" s="4">
        <f>SUMPRODUCT((data!$A$2:$A$257=$A24)*(data!$G$2:$G$257=E$1)*data!$E$2:$E$257)+SUMPRODUCT((data!$B$2:$B$257=$A24)*(data!$H$2:$H$257=E$1)*data!$F$2:$F$257)</f>
        <v>-1</v>
      </c>
      <c r="F24" s="4">
        <f>SUMPRODUCT((data!$A$2:$A$257=$A24)*(data!$G$2:$G$257=F$1)*data!$E$2:$E$257)+SUMPRODUCT((data!$B$2:$B$257=$A24)*(data!$H$2:$H$257=F$1)*data!$F$2:$F$257)</f>
        <v>-1</v>
      </c>
      <c r="G24" s="4">
        <f>SUMPRODUCT((data!$A$2:$A$257=$A24)*(data!$G$2:$G$257=G$1)*data!$E$2:$E$257)+SUMPRODUCT((data!$B$2:$B$257=$A24)*(data!$H$2:$H$257=G$1)*data!$F$2:$F$257)</f>
        <v>1</v>
      </c>
      <c r="H24" s="4">
        <f>SUMPRODUCT((data!$A$2:$A$257=$A24)*(data!$G$2:$G$257=H$1)*data!$E$2:$E$257)+SUMPRODUCT((data!$B$2:$B$257=$A24)*(data!$H$2:$H$257=H$1)*data!$F$2:$F$257)</f>
        <v>-1</v>
      </c>
      <c r="I24" s="4">
        <f>SUMPRODUCT((data!$A$2:$A$257=$A24)*(data!$G$2:$G$257=I$1)*data!$E$2:$E$257)+SUMPRODUCT((data!$B$2:$B$257=$A24)*(data!$H$2:$H$257=I$1)*data!$F$2:$F$257)</f>
        <v>-1</v>
      </c>
      <c r="J24" s="4">
        <f>SUMPRODUCT((data!$A$2:$A$257=$A24)*(data!$G$2:$G$257=J$1)*data!$E$2:$E$257)+SUMPRODUCT((data!$B$2:$B$257=$A24)*(data!$H$2:$H$257=J$1)*data!$F$2:$F$257)</f>
        <v>-1</v>
      </c>
      <c r="K24" s="4">
        <f>SUMPRODUCT((data!$A$2:$A$257=$A24)*(data!$G$2:$G$257=K$1)*data!$E$2:$E$257)+SUMPRODUCT((data!$B$2:$B$257=$A24)*(data!$H$2:$H$257=K$1)*data!$F$2:$F$257)</f>
        <v>1</v>
      </c>
      <c r="L24" s="4">
        <f>SUMPRODUCT((data!$A$2:$A$257=$A24)*(data!$G$2:$G$257=L$1)*data!$E$2:$E$257)+SUMPRODUCT((data!$B$2:$B$257=$A24)*(data!$H$2:$H$257=L$1)*data!$F$2:$F$257)</f>
        <v>-1</v>
      </c>
      <c r="M24" s="4">
        <f>SUMPRODUCT((data!$A$2:$A$257=$A24)*(data!$G$2:$G$257=M$1)*data!$E$2:$E$257)+SUMPRODUCT((data!$B$2:$B$257=$A24)*(data!$H$2:$H$257=M$1)*data!$F$2:$F$257)</f>
        <v>1</v>
      </c>
      <c r="N24" s="4">
        <f>SUMPRODUCT((data!$A$2:$A$257=$A24)*(data!$G$2:$G$257=N$1)*data!$E$2:$E$257)+SUMPRODUCT((data!$B$2:$B$257=$A24)*(data!$H$2:$H$257=N$1)*data!$F$2:$F$257)</f>
        <v>-1</v>
      </c>
      <c r="O24" s="4">
        <f>SUMPRODUCT((data!$A$2:$A$257=$A24)*(data!$G$2:$G$257=O$1)*data!$E$2:$E$257)+SUMPRODUCT((data!$B$2:$B$257=$A24)*(data!$H$2:$H$257=O$1)*data!$F$2:$F$257)</f>
        <v>1</v>
      </c>
      <c r="P24" s="4">
        <f>SUMPRODUCT((data!$A$2:$A$257=$A24)*(data!$G$2:$G$257=P$1)*data!$E$2:$E$257)+SUMPRODUCT((data!$B$2:$B$257=$A24)*(data!$H$2:$H$257=P$1)*data!$F$2:$F$257)</f>
        <v>-1</v>
      </c>
      <c r="Q24" s="4">
        <f>SUMPRODUCT((data!$A$2:$A$257=$A24)*(data!$G$2:$G$257=Q$1)*data!$E$2:$E$257)+SUMPRODUCT((data!$B$2:$B$257=$A24)*(data!$H$2:$H$257=Q$1)*data!$F$2:$F$257)</f>
        <v>-1</v>
      </c>
      <c r="S24">
        <f>COUNTIF(B24:Q24,1)</f>
        <v>5</v>
      </c>
      <c r="T24">
        <f>COUNTIF(B24:Q24,-1)</f>
        <v>11</v>
      </c>
    </row>
    <row r="25">
      <c r="A25" t="inlineStr">
        <is>
          <t>Philadelphia Eagles</t>
        </is>
      </c>
      <c r="B25" s="4">
        <f>SUMPRODUCT((data!$A$2:$A$257=$A25)*(data!$G$2:$G$257=B$1)*data!$E$2:$E$257)+SUMPRODUCT((data!$B$2:$B$257=$A25)*(data!$H$2:$H$257=B$1)*data!$F$2:$F$257)</f>
        <v>1</v>
      </c>
      <c r="C25" s="4">
        <f>SUMPRODUCT((data!$A$2:$A$257=$A25)*(data!$G$2:$G$257=C$1)*data!$E$2:$E$257)+SUMPRODUCT((data!$B$2:$B$257=$A25)*(data!$H$2:$H$257=C$1)*data!$F$2:$F$257)</f>
        <v>-1</v>
      </c>
      <c r="D25" s="4">
        <f>SUMPRODUCT((data!$A$2:$A$257=$A25)*(data!$G$2:$G$257=D$1)*data!$E$2:$E$257)+SUMPRODUCT((data!$B$2:$B$257=$A25)*(data!$H$2:$H$257=D$1)*data!$F$2:$F$257)</f>
        <v>1</v>
      </c>
      <c r="E25" s="4">
        <f>SUMPRODUCT((data!$A$2:$A$257=$A25)*(data!$G$2:$G$257=E$1)*data!$E$2:$E$257)+SUMPRODUCT((data!$B$2:$B$257=$A25)*(data!$H$2:$H$257=E$1)*data!$F$2:$F$257)</f>
        <v>1</v>
      </c>
      <c r="F25" s="4">
        <f>SUMPRODUCT((data!$A$2:$A$257=$A25)*(data!$G$2:$G$257=F$1)*data!$E$2:$E$257)+SUMPRODUCT((data!$B$2:$B$257=$A25)*(data!$H$2:$H$257=F$1)*data!$F$2:$F$257)</f>
        <v>-1</v>
      </c>
      <c r="G25" s="4">
        <f>SUMPRODUCT((data!$A$2:$A$257=$A25)*(data!$G$2:$G$257=G$1)*data!$E$2:$E$257)+SUMPRODUCT((data!$B$2:$B$257=$A25)*(data!$H$2:$H$257=G$1)*data!$F$2:$F$257)</f>
        <v>1</v>
      </c>
      <c r="H25" s="4">
        <f>SUMPRODUCT((data!$A$2:$A$257=$A25)*(data!$G$2:$G$257=H$1)*data!$E$2:$E$257)+SUMPRODUCT((data!$B$2:$B$257=$A25)*(data!$H$2:$H$257=H$1)*data!$F$2:$F$257)</f>
        <v>1</v>
      </c>
      <c r="I25" s="4">
        <f>SUMPRODUCT((data!$A$2:$A$257=$A25)*(data!$G$2:$G$257=I$1)*data!$E$2:$E$257)+SUMPRODUCT((data!$B$2:$B$257=$A25)*(data!$H$2:$H$257=I$1)*data!$F$2:$F$257)</f>
        <v>-1</v>
      </c>
      <c r="J25" s="4">
        <f>SUMPRODUCT((data!$A$2:$A$257=$A25)*(data!$G$2:$G$257=J$1)*data!$E$2:$E$257)+SUMPRODUCT((data!$B$2:$B$257=$A25)*(data!$H$2:$H$257=J$1)*data!$F$2:$F$257)</f>
        <v>-1</v>
      </c>
      <c r="K25" s="4">
        <f>SUMPRODUCT((data!$A$2:$A$257=$A25)*(data!$G$2:$G$257=K$1)*data!$E$2:$E$257)+SUMPRODUCT((data!$B$2:$B$257=$A25)*(data!$H$2:$H$257=K$1)*data!$F$2:$F$257)</f>
        <v>1</v>
      </c>
      <c r="L25" s="4">
        <f>SUMPRODUCT((data!$A$2:$A$257=$A25)*(data!$G$2:$G$257=L$1)*data!$E$2:$E$257)+SUMPRODUCT((data!$B$2:$B$257=$A25)*(data!$H$2:$H$257=L$1)*data!$F$2:$F$257)</f>
        <v>1</v>
      </c>
      <c r="M25" s="4">
        <f>SUMPRODUCT((data!$A$2:$A$257=$A25)*(data!$G$2:$G$257=M$1)*data!$E$2:$E$257)+SUMPRODUCT((data!$B$2:$B$257=$A25)*(data!$H$2:$H$257=M$1)*data!$F$2:$F$257)</f>
        <v>1</v>
      </c>
      <c r="N25" s="4">
        <f>SUMPRODUCT((data!$A$2:$A$257=$A25)*(data!$G$2:$G$257=N$1)*data!$E$2:$E$257)+SUMPRODUCT((data!$B$2:$B$257=$A25)*(data!$H$2:$H$257=N$1)*data!$F$2:$F$257)</f>
        <v>1</v>
      </c>
      <c r="O25" s="4">
        <f>SUMPRODUCT((data!$A$2:$A$257=$A25)*(data!$G$2:$G$257=O$1)*data!$E$2:$E$257)+SUMPRODUCT((data!$B$2:$B$257=$A25)*(data!$H$2:$H$257=O$1)*data!$F$2:$F$257)</f>
        <v>1</v>
      </c>
      <c r="P25" s="4">
        <f>SUMPRODUCT((data!$A$2:$A$257=$A25)*(data!$G$2:$G$257=P$1)*data!$E$2:$E$257)+SUMPRODUCT((data!$B$2:$B$257=$A25)*(data!$H$2:$H$257=P$1)*data!$F$2:$F$257)</f>
        <v>1</v>
      </c>
      <c r="Q25" s="4">
        <f>SUMPRODUCT((data!$A$2:$A$257=$A25)*(data!$G$2:$G$257=Q$1)*data!$E$2:$E$257)+SUMPRODUCT((data!$B$2:$B$257=$A25)*(data!$H$2:$H$257=Q$1)*data!$F$2:$F$257)</f>
        <v>-1</v>
      </c>
      <c r="S25">
        <f>COUNTIF(B25:Q25,1)</f>
        <v>11</v>
      </c>
      <c r="T25">
        <f>COUNTIF(B25:Q25,-1)</f>
        <v>5</v>
      </c>
    </row>
    <row r="26">
      <c r="A26" t="inlineStr">
        <is>
          <t>Pittsburgh Steelers</t>
        </is>
      </c>
      <c r="B26" s="4">
        <f>SUMPRODUCT((data!$A$2:$A$257=$A26)*(data!$G$2:$G$257=B$1)*data!$E$2:$E$257)+SUMPRODUCT((data!$B$2:$B$257=$A26)*(data!$H$2:$H$257=B$1)*data!$F$2:$F$257)</f>
        <v>1</v>
      </c>
      <c r="C26" s="4">
        <f>SUMPRODUCT((data!$A$2:$A$257=$A26)*(data!$G$2:$G$257=C$1)*data!$E$2:$E$257)+SUMPRODUCT((data!$B$2:$B$257=$A26)*(data!$H$2:$H$257=C$1)*data!$F$2:$F$257)</f>
        <v>-1</v>
      </c>
      <c r="D26" s="4">
        <f>SUMPRODUCT((data!$A$2:$A$257=$A26)*(data!$G$2:$G$257=D$1)*data!$E$2:$E$257)+SUMPRODUCT((data!$B$2:$B$257=$A26)*(data!$H$2:$H$257=D$1)*data!$F$2:$F$257)</f>
        <v>-1</v>
      </c>
      <c r="E26" s="4">
        <f>SUMPRODUCT((data!$A$2:$A$257=$A26)*(data!$G$2:$G$257=E$1)*data!$E$2:$E$257)+SUMPRODUCT((data!$B$2:$B$257=$A26)*(data!$H$2:$H$257=E$1)*data!$F$2:$F$257)</f>
        <v>1</v>
      </c>
      <c r="F26" s="4">
        <f>SUMPRODUCT((data!$A$2:$A$257=$A26)*(data!$G$2:$G$257=F$1)*data!$E$2:$E$257)+SUMPRODUCT((data!$B$2:$B$257=$A26)*(data!$H$2:$H$257=F$1)*data!$F$2:$F$257)</f>
        <v>1</v>
      </c>
      <c r="G26" s="4">
        <f>SUMPRODUCT((data!$A$2:$A$257=$A26)*(data!$G$2:$G$257=G$1)*data!$E$2:$E$257)+SUMPRODUCT((data!$B$2:$B$257=$A26)*(data!$H$2:$H$257=G$1)*data!$F$2:$F$257)</f>
        <v>1</v>
      </c>
      <c r="H26" s="4">
        <f>SUMPRODUCT((data!$A$2:$A$257=$A26)*(data!$G$2:$G$257=H$1)*data!$E$2:$E$257)+SUMPRODUCT((data!$B$2:$B$257=$A26)*(data!$H$2:$H$257=H$1)*data!$F$2:$F$257)</f>
        <v>1</v>
      </c>
      <c r="I26" s="4">
        <f>SUMPRODUCT((data!$A$2:$A$257=$A26)*(data!$G$2:$G$257=I$1)*data!$E$2:$E$257)+SUMPRODUCT((data!$B$2:$B$257=$A26)*(data!$H$2:$H$257=I$1)*data!$F$2:$F$257)</f>
        <v>1</v>
      </c>
      <c r="J26" s="4">
        <f>SUMPRODUCT((data!$A$2:$A$257=$A26)*(data!$G$2:$G$257=J$1)*data!$E$2:$E$257)+SUMPRODUCT((data!$B$2:$B$257=$A26)*(data!$H$2:$H$257=J$1)*data!$F$2:$F$257)</f>
        <v>-1</v>
      </c>
      <c r="K26" s="4">
        <f>SUMPRODUCT((data!$A$2:$A$257=$A26)*(data!$G$2:$G$257=K$1)*data!$E$2:$E$257)+SUMPRODUCT((data!$B$2:$B$257=$A26)*(data!$H$2:$H$257=K$1)*data!$F$2:$F$257)</f>
        <v>-1</v>
      </c>
      <c r="L26" s="4">
        <f>SUMPRODUCT((data!$A$2:$A$257=$A26)*(data!$G$2:$G$257=L$1)*data!$E$2:$E$257)+SUMPRODUCT((data!$B$2:$B$257=$A26)*(data!$H$2:$H$257=L$1)*data!$F$2:$F$257)</f>
        <v>-1</v>
      </c>
      <c r="M26" s="4">
        <f>SUMPRODUCT((data!$A$2:$A$257=$A26)*(data!$G$2:$G$257=M$1)*data!$E$2:$E$257)+SUMPRODUCT((data!$B$2:$B$257=$A26)*(data!$H$2:$H$257=M$1)*data!$F$2:$F$257)</f>
        <v>-1</v>
      </c>
      <c r="N26" s="4">
        <f>SUMPRODUCT((data!$A$2:$A$257=$A26)*(data!$G$2:$G$257=N$1)*data!$E$2:$E$257)+SUMPRODUCT((data!$B$2:$B$257=$A26)*(data!$H$2:$H$257=N$1)*data!$F$2:$F$257)</f>
        <v>-1</v>
      </c>
      <c r="O26" s="4">
        <f>SUMPRODUCT((data!$A$2:$A$257=$A26)*(data!$G$2:$G$257=O$1)*data!$E$2:$E$257)+SUMPRODUCT((data!$B$2:$B$257=$A26)*(data!$H$2:$H$257=O$1)*data!$F$2:$F$257)</f>
        <v>1</v>
      </c>
      <c r="P26" s="4">
        <f>SUMPRODUCT((data!$A$2:$A$257=$A26)*(data!$G$2:$G$257=P$1)*data!$E$2:$E$257)+SUMPRODUCT((data!$B$2:$B$257=$A26)*(data!$H$2:$H$257=P$1)*data!$F$2:$F$257)</f>
        <v>1</v>
      </c>
      <c r="Q26" s="4">
        <f>SUMPRODUCT((data!$A$2:$A$257=$A26)*(data!$G$2:$G$257=Q$1)*data!$E$2:$E$257)+SUMPRODUCT((data!$B$2:$B$257=$A26)*(data!$H$2:$H$257=Q$1)*data!$F$2:$F$257)</f>
        <v>1</v>
      </c>
      <c r="S26">
        <f>COUNTIF(B26:Q26,1)</f>
        <v>9</v>
      </c>
      <c r="T26">
        <f>COUNTIF(B26:Q26,-1)</f>
        <v>7</v>
      </c>
    </row>
    <row r="27">
      <c r="A27" t="inlineStr">
        <is>
          <t>San Diego Chargers</t>
        </is>
      </c>
      <c r="B27" s="4">
        <f>SUMPRODUCT((data!$A$2:$A$257=$A27)*(data!$G$2:$G$257=B$1)*data!$E$2:$E$257)+SUMPRODUCT((data!$B$2:$B$257=$A27)*(data!$H$2:$H$257=B$1)*data!$F$2:$F$257)</f>
        <v>1</v>
      </c>
      <c r="C27" s="4">
        <f>SUMPRODUCT((data!$A$2:$A$257=$A27)*(data!$G$2:$G$257=C$1)*data!$E$2:$E$257)+SUMPRODUCT((data!$B$2:$B$257=$A27)*(data!$H$2:$H$257=C$1)*data!$F$2:$F$257)</f>
        <v>-1</v>
      </c>
      <c r="D27" s="4">
        <f>SUMPRODUCT((data!$A$2:$A$257=$A27)*(data!$G$2:$G$257=D$1)*data!$E$2:$E$257)+SUMPRODUCT((data!$B$2:$B$257=$A27)*(data!$H$2:$H$257=D$1)*data!$F$2:$F$257)</f>
        <v>1</v>
      </c>
      <c r="E27" s="4">
        <f>SUMPRODUCT((data!$A$2:$A$257=$A27)*(data!$G$2:$G$257=E$1)*data!$E$2:$E$257)+SUMPRODUCT((data!$B$2:$B$257=$A27)*(data!$H$2:$H$257=E$1)*data!$F$2:$F$257)</f>
        <v>-1</v>
      </c>
      <c r="F27" s="4">
        <f>SUMPRODUCT((data!$A$2:$A$257=$A27)*(data!$G$2:$G$257=F$1)*data!$E$2:$E$257)+SUMPRODUCT((data!$B$2:$B$257=$A27)*(data!$H$2:$H$257=F$1)*data!$F$2:$F$257)</f>
        <v>-1</v>
      </c>
      <c r="G27" s="4">
        <f>SUMPRODUCT((data!$A$2:$A$257=$A27)*(data!$G$2:$G$257=G$1)*data!$E$2:$E$257)+SUMPRODUCT((data!$B$2:$B$257=$A27)*(data!$H$2:$H$257=G$1)*data!$F$2:$F$257)</f>
        <v>1</v>
      </c>
      <c r="H27" s="4">
        <f>SUMPRODUCT((data!$A$2:$A$257=$A27)*(data!$G$2:$G$257=H$1)*data!$E$2:$E$257)+SUMPRODUCT((data!$B$2:$B$257=$A27)*(data!$H$2:$H$257=H$1)*data!$F$2:$F$257)</f>
        <v>1</v>
      </c>
      <c r="I27" s="4">
        <f>SUMPRODUCT((data!$A$2:$A$257=$A27)*(data!$G$2:$G$257=I$1)*data!$E$2:$E$257)+SUMPRODUCT((data!$B$2:$B$257=$A27)*(data!$H$2:$H$257=I$1)*data!$F$2:$F$257)</f>
        <v>1</v>
      </c>
      <c r="J27" s="4">
        <f>SUMPRODUCT((data!$A$2:$A$257=$A27)*(data!$G$2:$G$257=J$1)*data!$E$2:$E$257)+SUMPRODUCT((data!$B$2:$B$257=$A27)*(data!$H$2:$H$257=J$1)*data!$F$2:$F$257)</f>
        <v>1</v>
      </c>
      <c r="K27" s="4">
        <f>SUMPRODUCT((data!$A$2:$A$257=$A27)*(data!$G$2:$G$257=K$1)*data!$E$2:$E$257)+SUMPRODUCT((data!$B$2:$B$257=$A27)*(data!$H$2:$H$257=K$1)*data!$F$2:$F$257)</f>
        <v>1</v>
      </c>
      <c r="L27" s="4">
        <f>SUMPRODUCT((data!$A$2:$A$257=$A27)*(data!$G$2:$G$257=L$1)*data!$E$2:$E$257)+SUMPRODUCT((data!$B$2:$B$257=$A27)*(data!$H$2:$H$257=L$1)*data!$F$2:$F$257)</f>
        <v>1</v>
      </c>
      <c r="M27" s="4">
        <f>SUMPRODUCT((data!$A$2:$A$257=$A27)*(data!$G$2:$G$257=M$1)*data!$E$2:$E$257)+SUMPRODUCT((data!$B$2:$B$257=$A27)*(data!$H$2:$H$257=M$1)*data!$F$2:$F$257)</f>
        <v>1</v>
      </c>
      <c r="N27" s="4">
        <f>SUMPRODUCT((data!$A$2:$A$257=$A27)*(data!$G$2:$G$257=N$1)*data!$E$2:$E$257)+SUMPRODUCT((data!$B$2:$B$257=$A27)*(data!$H$2:$H$257=N$1)*data!$F$2:$F$257)</f>
        <v>1</v>
      </c>
      <c r="O27" s="4">
        <f>SUMPRODUCT((data!$A$2:$A$257=$A27)*(data!$G$2:$G$257=O$1)*data!$E$2:$E$257)+SUMPRODUCT((data!$B$2:$B$257=$A27)*(data!$H$2:$H$257=O$1)*data!$F$2:$F$257)</f>
        <v>1</v>
      </c>
      <c r="P27" s="4">
        <f>SUMPRODUCT((data!$A$2:$A$257=$A27)*(data!$G$2:$G$257=P$1)*data!$E$2:$E$257)+SUMPRODUCT((data!$B$2:$B$257=$A27)*(data!$H$2:$H$257=P$1)*data!$F$2:$F$257)</f>
        <v>1</v>
      </c>
      <c r="Q27" s="4">
        <f>SUMPRODUCT((data!$A$2:$A$257=$A27)*(data!$G$2:$G$257=Q$1)*data!$E$2:$E$257)+SUMPRODUCT((data!$B$2:$B$257=$A27)*(data!$H$2:$H$257=Q$1)*data!$F$2:$F$257)</f>
        <v>1</v>
      </c>
      <c r="S27">
        <f>COUNTIF(B27:Q27,1)</f>
        <v>13</v>
      </c>
      <c r="T27">
        <f>COUNTIF(B27:Q27,-1)</f>
        <v>3</v>
      </c>
    </row>
    <row r="28">
      <c r="A28" t="inlineStr">
        <is>
          <t>San Francisco 49ers</t>
        </is>
      </c>
      <c r="B28" s="4">
        <f>SUMPRODUCT((data!$A$2:$A$257=$A28)*(data!$G$2:$G$257=B$1)*data!$E$2:$E$257)+SUMPRODUCT((data!$B$2:$B$257=$A28)*(data!$H$2:$H$257=B$1)*data!$F$2:$F$257)</f>
        <v>1</v>
      </c>
      <c r="C28" s="4">
        <f>SUMPRODUCT((data!$A$2:$A$257=$A28)*(data!$G$2:$G$257=C$1)*data!$E$2:$E$257)+SUMPRODUCT((data!$B$2:$B$257=$A28)*(data!$H$2:$H$257=C$1)*data!$F$2:$F$257)</f>
        <v>1</v>
      </c>
      <c r="D28" s="4">
        <f>SUMPRODUCT((data!$A$2:$A$257=$A28)*(data!$G$2:$G$257=D$1)*data!$E$2:$E$257)+SUMPRODUCT((data!$B$2:$B$257=$A28)*(data!$H$2:$H$257=D$1)*data!$F$2:$F$257)</f>
        <v>-1</v>
      </c>
      <c r="E28" s="4">
        <f>SUMPRODUCT((data!$A$2:$A$257=$A28)*(data!$G$2:$G$257=E$1)*data!$E$2:$E$257)+SUMPRODUCT((data!$B$2:$B$257=$A28)*(data!$H$2:$H$257=E$1)*data!$F$2:$F$257)</f>
        <v>1</v>
      </c>
      <c r="F28" s="4">
        <f>SUMPRODUCT((data!$A$2:$A$257=$A28)*(data!$G$2:$G$257=F$1)*data!$E$2:$E$257)+SUMPRODUCT((data!$B$2:$B$257=$A28)*(data!$H$2:$H$257=F$1)*data!$F$2:$F$257)</f>
        <v>-1</v>
      </c>
      <c r="G28" s="4">
        <f>SUMPRODUCT((data!$A$2:$A$257=$A28)*(data!$G$2:$G$257=G$1)*data!$E$2:$E$257)+SUMPRODUCT((data!$B$2:$B$257=$A28)*(data!$H$2:$H$257=G$1)*data!$F$2:$F$257)</f>
        <v>-1</v>
      </c>
      <c r="H28" s="4">
        <f>SUMPRODUCT((data!$A$2:$A$257=$A28)*(data!$G$2:$G$257=H$1)*data!$E$2:$E$257)+SUMPRODUCT((data!$B$2:$B$257=$A28)*(data!$H$2:$H$257=H$1)*data!$F$2:$F$257)</f>
        <v>-1</v>
      </c>
      <c r="I28" s="4">
        <f>SUMPRODUCT((data!$A$2:$A$257=$A28)*(data!$G$2:$G$257=I$1)*data!$E$2:$E$257)+SUMPRODUCT((data!$B$2:$B$257=$A28)*(data!$H$2:$H$257=I$1)*data!$F$2:$F$257)</f>
        <v>-1</v>
      </c>
      <c r="J28" s="4">
        <f>SUMPRODUCT((data!$A$2:$A$257=$A28)*(data!$G$2:$G$257=J$1)*data!$E$2:$E$257)+SUMPRODUCT((data!$B$2:$B$257=$A28)*(data!$H$2:$H$257=J$1)*data!$F$2:$F$257)</f>
        <v>1</v>
      </c>
      <c r="K28" s="4">
        <f>SUMPRODUCT((data!$A$2:$A$257=$A28)*(data!$G$2:$G$257=K$1)*data!$E$2:$E$257)+SUMPRODUCT((data!$B$2:$B$257=$A28)*(data!$H$2:$H$257=K$1)*data!$F$2:$F$257)</f>
        <v>-1</v>
      </c>
      <c r="L28" s="4">
        <f>SUMPRODUCT((data!$A$2:$A$257=$A28)*(data!$G$2:$G$257=L$1)*data!$E$2:$E$257)+SUMPRODUCT((data!$B$2:$B$257=$A28)*(data!$H$2:$H$257=L$1)*data!$F$2:$F$257)</f>
        <v>1</v>
      </c>
      <c r="M28" s="4">
        <f>SUMPRODUCT((data!$A$2:$A$257=$A28)*(data!$G$2:$G$257=M$1)*data!$E$2:$E$257)+SUMPRODUCT((data!$B$2:$B$257=$A28)*(data!$H$2:$H$257=M$1)*data!$F$2:$F$257)</f>
        <v>-1</v>
      </c>
      <c r="N28" s="4">
        <f>SUMPRODUCT((data!$A$2:$A$257=$A28)*(data!$G$2:$G$257=N$1)*data!$E$2:$E$257)+SUMPRODUCT((data!$B$2:$B$257=$A28)*(data!$H$2:$H$257=N$1)*data!$F$2:$F$257)</f>
        <v>1</v>
      </c>
      <c r="O28" s="4">
        <f>SUMPRODUCT((data!$A$2:$A$257=$A28)*(data!$G$2:$G$257=O$1)*data!$E$2:$E$257)+SUMPRODUCT((data!$B$2:$B$257=$A28)*(data!$H$2:$H$257=O$1)*data!$F$2:$F$257)</f>
        <v>-1</v>
      </c>
      <c r="P28" s="4">
        <f>SUMPRODUCT((data!$A$2:$A$257=$A28)*(data!$G$2:$G$257=P$1)*data!$E$2:$E$257)+SUMPRODUCT((data!$B$2:$B$257=$A28)*(data!$H$2:$H$257=P$1)*data!$F$2:$F$257)</f>
        <v>1</v>
      </c>
      <c r="Q28" s="4">
        <f>SUMPRODUCT((data!$A$2:$A$257=$A28)*(data!$G$2:$G$257=Q$1)*data!$E$2:$E$257)+SUMPRODUCT((data!$B$2:$B$257=$A28)*(data!$H$2:$H$257=Q$1)*data!$F$2:$F$257)</f>
        <v>1</v>
      </c>
      <c r="S28">
        <f>COUNTIF(B28:Q28,1)</f>
        <v>8</v>
      </c>
      <c r="T28">
        <f>COUNTIF(B28:Q28,-1)</f>
        <v>8</v>
      </c>
    </row>
    <row r="29">
      <c r="A29" t="inlineStr">
        <is>
          <t>Seattle Seahawks</t>
        </is>
      </c>
      <c r="B29" s="4">
        <f>SUMPRODUCT((data!$A$2:$A$257=$A29)*(data!$G$2:$G$257=B$1)*data!$E$2:$E$257)+SUMPRODUCT((data!$B$2:$B$257=$A29)*(data!$H$2:$H$257=B$1)*data!$F$2:$F$257)</f>
        <v>1</v>
      </c>
      <c r="C29" s="4">
        <f>SUMPRODUCT((data!$A$2:$A$257=$A29)*(data!$G$2:$G$257=C$1)*data!$E$2:$E$257)+SUMPRODUCT((data!$B$2:$B$257=$A29)*(data!$H$2:$H$257=C$1)*data!$F$2:$F$257)</f>
        <v>-1</v>
      </c>
      <c r="D29" s="4">
        <f>SUMPRODUCT((data!$A$2:$A$257=$A29)*(data!$G$2:$G$257=D$1)*data!$E$2:$E$257)+SUMPRODUCT((data!$B$2:$B$257=$A29)*(data!$H$2:$H$257=D$1)*data!$F$2:$F$257)</f>
        <v>-1</v>
      </c>
      <c r="E29" s="4">
        <f>SUMPRODUCT((data!$A$2:$A$257=$A29)*(data!$G$2:$G$257=E$1)*data!$E$2:$E$257)+SUMPRODUCT((data!$B$2:$B$257=$A29)*(data!$H$2:$H$257=E$1)*data!$F$2:$F$257)</f>
        <v>-1</v>
      </c>
      <c r="F29" s="4">
        <f>SUMPRODUCT((data!$A$2:$A$257=$A29)*(data!$G$2:$G$257=F$1)*data!$E$2:$E$257)+SUMPRODUCT((data!$B$2:$B$257=$A29)*(data!$H$2:$H$257=F$1)*data!$F$2:$F$257)</f>
        <v>1</v>
      </c>
      <c r="G29" s="4">
        <f>SUMPRODUCT((data!$A$2:$A$257=$A29)*(data!$G$2:$G$257=G$1)*data!$E$2:$E$257)+SUMPRODUCT((data!$B$2:$B$257=$A29)*(data!$H$2:$H$257=G$1)*data!$F$2:$F$257)</f>
        <v>-1</v>
      </c>
      <c r="H29" s="4">
        <f>SUMPRODUCT((data!$A$2:$A$257=$A29)*(data!$G$2:$G$257=H$1)*data!$E$2:$E$257)+SUMPRODUCT((data!$B$2:$B$257=$A29)*(data!$H$2:$H$257=H$1)*data!$F$2:$F$257)</f>
        <v>-1</v>
      </c>
      <c r="I29" s="4">
        <f>SUMPRODUCT((data!$A$2:$A$257=$A29)*(data!$G$2:$G$257=I$1)*data!$E$2:$E$257)+SUMPRODUCT((data!$B$2:$B$257=$A29)*(data!$H$2:$H$257=I$1)*data!$F$2:$F$257)</f>
        <v>1</v>
      </c>
      <c r="J29" s="4">
        <f>SUMPRODUCT((data!$A$2:$A$257=$A29)*(data!$G$2:$G$257=J$1)*data!$E$2:$E$257)+SUMPRODUCT((data!$B$2:$B$257=$A29)*(data!$H$2:$H$257=J$1)*data!$F$2:$F$257)</f>
        <v>-1</v>
      </c>
      <c r="K29" s="4">
        <f>SUMPRODUCT((data!$A$2:$A$257=$A29)*(data!$G$2:$G$257=K$1)*data!$E$2:$E$257)+SUMPRODUCT((data!$B$2:$B$257=$A29)*(data!$H$2:$H$257=K$1)*data!$F$2:$F$257)</f>
        <v>-1</v>
      </c>
      <c r="L29" s="4">
        <f>SUMPRODUCT((data!$A$2:$A$257=$A29)*(data!$G$2:$G$257=L$1)*data!$E$2:$E$257)+SUMPRODUCT((data!$B$2:$B$257=$A29)*(data!$H$2:$H$257=L$1)*data!$F$2:$F$257)</f>
        <v>1</v>
      </c>
      <c r="M29" s="4">
        <f>SUMPRODUCT((data!$A$2:$A$257=$A29)*(data!$G$2:$G$257=M$1)*data!$E$2:$E$257)+SUMPRODUCT((data!$B$2:$B$257=$A29)*(data!$H$2:$H$257=M$1)*data!$F$2:$F$257)</f>
        <v>1</v>
      </c>
      <c r="N29" s="4">
        <f>SUMPRODUCT((data!$A$2:$A$257=$A29)*(data!$G$2:$G$257=N$1)*data!$E$2:$E$257)+SUMPRODUCT((data!$B$2:$B$257=$A29)*(data!$H$2:$H$257=N$1)*data!$F$2:$F$257)</f>
        <v>-1</v>
      </c>
      <c r="O29" s="4">
        <f>SUMPRODUCT((data!$A$2:$A$257=$A29)*(data!$G$2:$G$257=O$1)*data!$E$2:$E$257)+SUMPRODUCT((data!$B$2:$B$257=$A29)*(data!$H$2:$H$257=O$1)*data!$F$2:$F$257)</f>
        <v>-1</v>
      </c>
      <c r="P29" s="4">
        <f>SUMPRODUCT((data!$A$2:$A$257=$A29)*(data!$G$2:$G$257=P$1)*data!$E$2:$E$257)+SUMPRODUCT((data!$B$2:$B$257=$A29)*(data!$H$2:$H$257=P$1)*data!$F$2:$F$257)</f>
        <v>-1</v>
      </c>
      <c r="Q29" s="4">
        <f>SUMPRODUCT((data!$A$2:$A$257=$A29)*(data!$G$2:$G$257=Q$1)*data!$E$2:$E$257)+SUMPRODUCT((data!$B$2:$B$257=$A29)*(data!$H$2:$H$257=Q$1)*data!$F$2:$F$257)</f>
        <v>-1</v>
      </c>
      <c r="S29">
        <f>COUNTIF(B29:Q29,1)</f>
        <v>5</v>
      </c>
      <c r="T29">
        <f>COUNTIF(B29:Q29,-1)</f>
        <v>11</v>
      </c>
    </row>
    <row r="30">
      <c r="A30" t="inlineStr">
        <is>
          <t>St. Louis Rams</t>
        </is>
      </c>
      <c r="B30" s="4">
        <f>SUMPRODUCT((data!$A$2:$A$257=$A30)*(data!$G$2:$G$257=B$1)*data!$E$2:$E$257)+SUMPRODUCT((data!$B$2:$B$257=$A30)*(data!$H$2:$H$257=B$1)*data!$F$2:$F$257)</f>
        <v>-1</v>
      </c>
      <c r="C30" s="4">
        <f>SUMPRODUCT((data!$A$2:$A$257=$A30)*(data!$G$2:$G$257=C$1)*data!$E$2:$E$257)+SUMPRODUCT((data!$B$2:$B$257=$A30)*(data!$H$2:$H$257=C$1)*data!$F$2:$F$257)</f>
        <v>-1</v>
      </c>
      <c r="D30" s="4">
        <f>SUMPRODUCT((data!$A$2:$A$257=$A30)*(data!$G$2:$G$257=D$1)*data!$E$2:$E$257)+SUMPRODUCT((data!$B$2:$B$257=$A30)*(data!$H$2:$H$257=D$1)*data!$F$2:$F$257)</f>
        <v>-1</v>
      </c>
      <c r="E30" s="4">
        <f>SUMPRODUCT((data!$A$2:$A$257=$A30)*(data!$G$2:$G$257=E$1)*data!$E$2:$E$257)+SUMPRODUCT((data!$B$2:$B$257=$A30)*(data!$H$2:$H$257=E$1)*data!$F$2:$F$257)</f>
        <v>-1</v>
      </c>
      <c r="F30" s="4">
        <f>SUMPRODUCT((data!$A$2:$A$257=$A30)*(data!$G$2:$G$257=F$1)*data!$E$2:$E$257)+SUMPRODUCT((data!$B$2:$B$257=$A30)*(data!$H$2:$H$257=F$1)*data!$F$2:$F$257)</f>
        <v>-1</v>
      </c>
      <c r="G30" s="4">
        <f>SUMPRODUCT((data!$A$2:$A$257=$A30)*(data!$G$2:$G$257=G$1)*data!$E$2:$E$257)+SUMPRODUCT((data!$B$2:$B$257=$A30)*(data!$H$2:$H$257=G$1)*data!$F$2:$F$257)</f>
        <v>-1</v>
      </c>
      <c r="H30" s="4">
        <f>SUMPRODUCT((data!$A$2:$A$257=$A30)*(data!$G$2:$G$257=H$1)*data!$E$2:$E$257)+SUMPRODUCT((data!$B$2:$B$257=$A30)*(data!$H$2:$H$257=H$1)*data!$F$2:$F$257)</f>
        <v>-1</v>
      </c>
      <c r="I30" s="4">
        <f>SUMPRODUCT((data!$A$2:$A$257=$A30)*(data!$G$2:$G$257=I$1)*data!$E$2:$E$257)+SUMPRODUCT((data!$B$2:$B$257=$A30)*(data!$H$2:$H$257=I$1)*data!$F$2:$F$257)</f>
        <v>1</v>
      </c>
      <c r="J30" s="4">
        <f>SUMPRODUCT((data!$A$2:$A$257=$A30)*(data!$G$2:$G$257=J$1)*data!$E$2:$E$257)+SUMPRODUCT((data!$B$2:$B$257=$A30)*(data!$H$2:$H$257=J$1)*data!$F$2:$F$257)</f>
        <v>-1</v>
      </c>
      <c r="K30" s="4">
        <f>SUMPRODUCT((data!$A$2:$A$257=$A30)*(data!$G$2:$G$257=K$1)*data!$E$2:$E$257)+SUMPRODUCT((data!$B$2:$B$257=$A30)*(data!$H$2:$H$257=K$1)*data!$F$2:$F$257)</f>
        <v>-1</v>
      </c>
      <c r="L30" s="4">
        <f>SUMPRODUCT((data!$A$2:$A$257=$A30)*(data!$G$2:$G$257=L$1)*data!$E$2:$E$257)+SUMPRODUCT((data!$B$2:$B$257=$A30)*(data!$H$2:$H$257=L$1)*data!$F$2:$F$257)</f>
        <v>-1</v>
      </c>
      <c r="M30" s="4">
        <f>SUMPRODUCT((data!$A$2:$A$257=$A30)*(data!$G$2:$G$257=M$1)*data!$E$2:$E$257)+SUMPRODUCT((data!$B$2:$B$257=$A30)*(data!$H$2:$H$257=M$1)*data!$F$2:$F$257)</f>
        <v>-1</v>
      </c>
      <c r="N30" s="4">
        <f>SUMPRODUCT((data!$A$2:$A$257=$A30)*(data!$G$2:$G$257=N$1)*data!$E$2:$E$257)+SUMPRODUCT((data!$B$2:$B$257=$A30)*(data!$H$2:$H$257=N$1)*data!$F$2:$F$257)</f>
        <v>-1</v>
      </c>
      <c r="O30" s="4">
        <f>SUMPRODUCT((data!$A$2:$A$257=$A30)*(data!$G$2:$G$257=O$1)*data!$E$2:$E$257)+SUMPRODUCT((data!$B$2:$B$257=$A30)*(data!$H$2:$H$257=O$1)*data!$F$2:$F$257)</f>
        <v>-1</v>
      </c>
      <c r="P30" s="4">
        <f>SUMPRODUCT((data!$A$2:$A$257=$A30)*(data!$G$2:$G$257=P$1)*data!$E$2:$E$257)+SUMPRODUCT((data!$B$2:$B$257=$A30)*(data!$H$2:$H$257=P$1)*data!$F$2:$F$257)</f>
        <v>-1</v>
      </c>
      <c r="Q30" s="4">
        <f>SUMPRODUCT((data!$A$2:$A$257=$A30)*(data!$G$2:$G$257=Q$1)*data!$E$2:$E$257)+SUMPRODUCT((data!$B$2:$B$257=$A30)*(data!$H$2:$H$257=Q$1)*data!$F$2:$F$257)</f>
        <v>-1</v>
      </c>
      <c r="S30">
        <f>COUNTIF(B30:Q30,1)</f>
        <v>1</v>
      </c>
      <c r="T30">
        <f>COUNTIF(B30:Q30,-1)</f>
        <v>15</v>
      </c>
    </row>
    <row r="31">
      <c r="A31" t="inlineStr">
        <is>
          <t>Tampa Bay Buccaneers</t>
        </is>
      </c>
      <c r="B31" s="4">
        <f>SUMPRODUCT((data!$A$2:$A$257=$A31)*(data!$G$2:$G$257=B$1)*data!$E$2:$E$257)+SUMPRODUCT((data!$B$2:$B$257=$A31)*(data!$H$2:$H$257=B$1)*data!$F$2:$F$257)</f>
        <v>-1</v>
      </c>
      <c r="C31" s="4">
        <f>SUMPRODUCT((data!$A$2:$A$257=$A31)*(data!$G$2:$G$257=C$1)*data!$E$2:$E$257)+SUMPRODUCT((data!$B$2:$B$257=$A31)*(data!$H$2:$H$257=C$1)*data!$F$2:$F$257)</f>
        <v>-1</v>
      </c>
      <c r="D31" s="4">
        <f>SUMPRODUCT((data!$A$2:$A$257=$A31)*(data!$G$2:$G$257=D$1)*data!$E$2:$E$257)+SUMPRODUCT((data!$B$2:$B$257=$A31)*(data!$H$2:$H$257=D$1)*data!$F$2:$F$257)</f>
        <v>-1</v>
      </c>
      <c r="E31" s="4">
        <f>SUMPRODUCT((data!$A$2:$A$257=$A31)*(data!$G$2:$G$257=E$1)*data!$E$2:$E$257)+SUMPRODUCT((data!$B$2:$B$257=$A31)*(data!$H$2:$H$257=E$1)*data!$F$2:$F$257)</f>
        <v>-1</v>
      </c>
      <c r="F31" s="4">
        <f>SUMPRODUCT((data!$A$2:$A$257=$A31)*(data!$G$2:$G$257=F$1)*data!$E$2:$E$257)+SUMPRODUCT((data!$B$2:$B$257=$A31)*(data!$H$2:$H$257=F$1)*data!$F$2:$F$257)</f>
        <v>-1</v>
      </c>
      <c r="G31" s="4">
        <f>SUMPRODUCT((data!$A$2:$A$257=$A31)*(data!$G$2:$G$257=G$1)*data!$E$2:$E$257)+SUMPRODUCT((data!$B$2:$B$257=$A31)*(data!$H$2:$H$257=G$1)*data!$F$2:$F$257)</f>
        <v>-1</v>
      </c>
      <c r="H31" s="4">
        <f>SUMPRODUCT((data!$A$2:$A$257=$A31)*(data!$G$2:$G$257=H$1)*data!$E$2:$E$257)+SUMPRODUCT((data!$B$2:$B$257=$A31)*(data!$H$2:$H$257=H$1)*data!$F$2:$F$257)</f>
        <v>-1</v>
      </c>
      <c r="I31" s="4">
        <f>SUMPRODUCT((data!$A$2:$A$257=$A31)*(data!$G$2:$G$257=I$1)*data!$E$2:$E$257)+SUMPRODUCT((data!$B$2:$B$257=$A31)*(data!$H$2:$H$257=I$1)*data!$F$2:$F$257)</f>
        <v>1</v>
      </c>
      <c r="J31" s="4">
        <f>SUMPRODUCT((data!$A$2:$A$257=$A31)*(data!$G$2:$G$257=J$1)*data!$E$2:$E$257)+SUMPRODUCT((data!$B$2:$B$257=$A31)*(data!$H$2:$H$257=J$1)*data!$F$2:$F$257)</f>
        <v>-1</v>
      </c>
      <c r="K31" s="4">
        <f>SUMPRODUCT((data!$A$2:$A$257=$A31)*(data!$G$2:$G$257=K$1)*data!$E$2:$E$257)+SUMPRODUCT((data!$B$2:$B$257=$A31)*(data!$H$2:$H$257=K$1)*data!$F$2:$F$257)</f>
        <v>-1</v>
      </c>
      <c r="L31" s="4">
        <f>SUMPRODUCT((data!$A$2:$A$257=$A31)*(data!$G$2:$G$257=L$1)*data!$E$2:$E$257)+SUMPRODUCT((data!$B$2:$B$257=$A31)*(data!$H$2:$H$257=L$1)*data!$F$2:$F$257)</f>
        <v>-1</v>
      </c>
      <c r="M31" s="4">
        <f>SUMPRODUCT((data!$A$2:$A$257=$A31)*(data!$G$2:$G$257=M$1)*data!$E$2:$E$257)+SUMPRODUCT((data!$B$2:$B$257=$A31)*(data!$H$2:$H$257=M$1)*data!$F$2:$F$257)</f>
        <v>-1</v>
      </c>
      <c r="N31" s="4">
        <f>SUMPRODUCT((data!$A$2:$A$257=$A31)*(data!$G$2:$G$257=N$1)*data!$E$2:$E$257)+SUMPRODUCT((data!$B$2:$B$257=$A31)*(data!$H$2:$H$257=N$1)*data!$F$2:$F$257)</f>
        <v>-1</v>
      </c>
      <c r="O31" s="4">
        <f>SUMPRODUCT((data!$A$2:$A$257=$A31)*(data!$G$2:$G$257=O$1)*data!$E$2:$E$257)+SUMPRODUCT((data!$B$2:$B$257=$A31)*(data!$H$2:$H$257=O$1)*data!$F$2:$F$257)</f>
        <v>1</v>
      </c>
      <c r="P31" s="4">
        <f>SUMPRODUCT((data!$A$2:$A$257=$A31)*(data!$G$2:$G$257=P$1)*data!$E$2:$E$257)+SUMPRODUCT((data!$B$2:$B$257=$A31)*(data!$H$2:$H$257=P$1)*data!$F$2:$F$257)</f>
        <v>1</v>
      </c>
      <c r="Q31" s="4">
        <f>SUMPRODUCT((data!$A$2:$A$257=$A31)*(data!$G$2:$G$257=Q$1)*data!$E$2:$E$257)+SUMPRODUCT((data!$B$2:$B$257=$A31)*(data!$H$2:$H$257=Q$1)*data!$F$2:$F$257)</f>
        <v>-1</v>
      </c>
      <c r="S31">
        <f>COUNTIF(B31:Q31,1)</f>
        <v>3</v>
      </c>
      <c r="T31">
        <f>COUNTIF(B31:Q31,-1)</f>
        <v>13</v>
      </c>
    </row>
    <row r="32">
      <c r="A32" t="inlineStr">
        <is>
          <t>Tennessee Titans</t>
        </is>
      </c>
      <c r="B32" s="4">
        <f>SUMPRODUCT((data!$A$2:$A$257=$A32)*(data!$G$2:$G$257=B$1)*data!$E$2:$E$257)+SUMPRODUCT((data!$B$2:$B$257=$A32)*(data!$H$2:$H$257=B$1)*data!$F$2:$F$257)</f>
        <v>-1</v>
      </c>
      <c r="C32" s="4">
        <f>SUMPRODUCT((data!$A$2:$A$257=$A32)*(data!$G$2:$G$257=C$1)*data!$E$2:$E$257)+SUMPRODUCT((data!$B$2:$B$257=$A32)*(data!$H$2:$H$257=C$1)*data!$F$2:$F$257)</f>
        <v>-1</v>
      </c>
      <c r="D32" s="4">
        <f>SUMPRODUCT((data!$A$2:$A$257=$A32)*(data!$G$2:$G$257=D$1)*data!$E$2:$E$257)+SUMPRODUCT((data!$B$2:$B$257=$A32)*(data!$H$2:$H$257=D$1)*data!$F$2:$F$257)</f>
        <v>-1</v>
      </c>
      <c r="E32" s="4">
        <f>SUMPRODUCT((data!$A$2:$A$257=$A32)*(data!$G$2:$G$257=E$1)*data!$E$2:$E$257)+SUMPRODUCT((data!$B$2:$B$257=$A32)*(data!$H$2:$H$257=E$1)*data!$F$2:$F$257)</f>
        <v>-1</v>
      </c>
      <c r="F32" s="4">
        <f>SUMPRODUCT((data!$A$2:$A$257=$A32)*(data!$G$2:$G$257=F$1)*data!$E$2:$E$257)+SUMPRODUCT((data!$B$2:$B$257=$A32)*(data!$H$2:$H$257=F$1)*data!$F$2:$F$257)</f>
        <v>-1</v>
      </c>
      <c r="G32" s="4">
        <f>SUMPRODUCT((data!$A$2:$A$257=$A32)*(data!$G$2:$G$257=G$1)*data!$E$2:$E$257)+SUMPRODUCT((data!$B$2:$B$257=$A32)*(data!$H$2:$H$257=G$1)*data!$F$2:$F$257)</f>
        <v>-1</v>
      </c>
      <c r="H32" s="4">
        <f>SUMPRODUCT((data!$A$2:$A$257=$A32)*(data!$G$2:$G$257=H$1)*data!$E$2:$E$257)+SUMPRODUCT((data!$B$2:$B$257=$A32)*(data!$H$2:$H$257=H$1)*data!$F$2:$F$257)</f>
        <v>1</v>
      </c>
      <c r="I32" s="4">
        <f>SUMPRODUCT((data!$A$2:$A$257=$A32)*(data!$G$2:$G$257=I$1)*data!$E$2:$E$257)+SUMPRODUCT((data!$B$2:$B$257=$A32)*(data!$H$2:$H$257=I$1)*data!$F$2:$F$257)</f>
        <v>1</v>
      </c>
      <c r="J32" s="4">
        <f>SUMPRODUCT((data!$A$2:$A$257=$A32)*(data!$G$2:$G$257=J$1)*data!$E$2:$E$257)+SUMPRODUCT((data!$B$2:$B$257=$A32)*(data!$H$2:$H$257=J$1)*data!$F$2:$F$257)</f>
        <v>1</v>
      </c>
      <c r="K32" s="4">
        <f>SUMPRODUCT((data!$A$2:$A$257=$A32)*(data!$G$2:$G$257=K$1)*data!$E$2:$E$257)+SUMPRODUCT((data!$B$2:$B$257=$A32)*(data!$H$2:$H$257=K$1)*data!$F$2:$F$257)</f>
        <v>1</v>
      </c>
      <c r="L32" s="4">
        <f>SUMPRODUCT((data!$A$2:$A$257=$A32)*(data!$G$2:$G$257=L$1)*data!$E$2:$E$257)+SUMPRODUCT((data!$B$2:$B$257=$A32)*(data!$H$2:$H$257=L$1)*data!$F$2:$F$257)</f>
        <v>1</v>
      </c>
      <c r="M32" s="4">
        <f>SUMPRODUCT((data!$A$2:$A$257=$A32)*(data!$G$2:$G$257=M$1)*data!$E$2:$E$257)+SUMPRODUCT((data!$B$2:$B$257=$A32)*(data!$H$2:$H$257=M$1)*data!$F$2:$F$257)</f>
        <v>-1</v>
      </c>
      <c r="N32" s="4">
        <f>SUMPRODUCT((data!$A$2:$A$257=$A32)*(data!$G$2:$G$257=N$1)*data!$E$2:$E$257)+SUMPRODUCT((data!$B$2:$B$257=$A32)*(data!$H$2:$H$257=N$1)*data!$F$2:$F$257)</f>
        <v>1</v>
      </c>
      <c r="O32" s="4">
        <f>SUMPRODUCT((data!$A$2:$A$257=$A32)*(data!$G$2:$G$257=O$1)*data!$E$2:$E$257)+SUMPRODUCT((data!$B$2:$B$257=$A32)*(data!$H$2:$H$257=O$1)*data!$F$2:$F$257)</f>
        <v>1</v>
      </c>
      <c r="P32" s="4">
        <f>SUMPRODUCT((data!$A$2:$A$257=$A32)*(data!$G$2:$G$257=P$1)*data!$E$2:$E$257)+SUMPRODUCT((data!$B$2:$B$257=$A32)*(data!$H$2:$H$257=P$1)*data!$F$2:$F$257)</f>
        <v>-1</v>
      </c>
      <c r="Q32" s="4">
        <f>SUMPRODUCT((data!$A$2:$A$257=$A32)*(data!$G$2:$G$257=Q$1)*data!$E$2:$E$257)+SUMPRODUCT((data!$B$2:$B$257=$A32)*(data!$H$2:$H$257=Q$1)*data!$F$2:$F$257)</f>
        <v>1</v>
      </c>
      <c r="S32">
        <f>COUNTIF(B32:Q32,1)</f>
        <v>8</v>
      </c>
      <c r="T32">
        <f>COUNTIF(B32:Q32,-1)</f>
        <v>8</v>
      </c>
    </row>
    <row r="33">
      <c r="A33" t="inlineStr">
        <is>
          <t>Washington Redskins</t>
        </is>
      </c>
      <c r="B33" s="4">
        <f>SUMPRODUCT((data!$A$2:$A$257=$A33)*(data!$G$2:$G$257=B$1)*data!$E$2:$E$257)+SUMPRODUCT((data!$B$2:$B$257=$A33)*(data!$H$2:$H$257=B$1)*data!$F$2:$F$257)</f>
        <v>-1</v>
      </c>
      <c r="C33" s="4">
        <f>SUMPRODUCT((data!$A$2:$A$257=$A33)*(data!$G$2:$G$257=C$1)*data!$E$2:$E$257)+SUMPRODUCT((data!$B$2:$B$257=$A33)*(data!$H$2:$H$257=C$1)*data!$F$2:$F$257)</f>
        <v>1</v>
      </c>
      <c r="D33" s="4">
        <f>SUMPRODUCT((data!$A$2:$A$257=$A33)*(data!$G$2:$G$257=D$1)*data!$E$2:$E$257)+SUMPRODUCT((data!$B$2:$B$257=$A33)*(data!$H$2:$H$257=D$1)*data!$F$2:$F$257)</f>
        <v>-1</v>
      </c>
      <c r="E33" s="4">
        <f>SUMPRODUCT((data!$A$2:$A$257=$A33)*(data!$G$2:$G$257=E$1)*data!$E$2:$E$257)+SUMPRODUCT((data!$B$2:$B$257=$A33)*(data!$H$2:$H$257=E$1)*data!$F$2:$F$257)</f>
        <v>1</v>
      </c>
      <c r="F33" s="4">
        <f>SUMPRODUCT((data!$A$2:$A$257=$A33)*(data!$G$2:$G$257=F$1)*data!$E$2:$E$257)+SUMPRODUCT((data!$B$2:$B$257=$A33)*(data!$H$2:$H$257=F$1)*data!$F$2:$F$257)</f>
        <v>-1</v>
      </c>
      <c r="G33" s="4">
        <f>SUMPRODUCT((data!$A$2:$A$257=$A33)*(data!$G$2:$G$257=G$1)*data!$E$2:$E$257)+SUMPRODUCT((data!$B$2:$B$257=$A33)*(data!$H$2:$H$257=G$1)*data!$F$2:$F$257)</f>
        <v>-1</v>
      </c>
      <c r="H33" s="4">
        <f>SUMPRODUCT((data!$A$2:$A$257=$A33)*(data!$G$2:$G$257=H$1)*data!$E$2:$E$257)+SUMPRODUCT((data!$B$2:$B$257=$A33)*(data!$H$2:$H$257=H$1)*data!$F$2:$F$257)</f>
        <v>-1</v>
      </c>
      <c r="I33" s="4">
        <f>SUMPRODUCT((data!$A$2:$A$257=$A33)*(data!$G$2:$G$257=I$1)*data!$E$2:$E$257)+SUMPRODUCT((data!$B$2:$B$257=$A33)*(data!$H$2:$H$257=I$1)*data!$F$2:$F$257)</f>
        <v>-1</v>
      </c>
      <c r="J33" s="4">
        <f>SUMPRODUCT((data!$A$2:$A$257=$A33)*(data!$G$2:$G$257=J$1)*data!$E$2:$E$257)+SUMPRODUCT((data!$B$2:$B$257=$A33)*(data!$H$2:$H$257=J$1)*data!$F$2:$F$257)</f>
        <v>1</v>
      </c>
      <c r="K33" s="4">
        <f>SUMPRODUCT((data!$A$2:$A$257=$A33)*(data!$G$2:$G$257=K$1)*data!$E$2:$E$257)+SUMPRODUCT((data!$B$2:$B$257=$A33)*(data!$H$2:$H$257=K$1)*data!$F$2:$F$257)</f>
        <v>-1</v>
      </c>
      <c r="L33" s="4">
        <f>SUMPRODUCT((data!$A$2:$A$257=$A33)*(data!$G$2:$G$257=L$1)*data!$E$2:$E$257)+SUMPRODUCT((data!$B$2:$B$257=$A33)*(data!$H$2:$H$257=L$1)*data!$F$2:$F$257)</f>
        <v>-1</v>
      </c>
      <c r="M33" s="4">
        <f>SUMPRODUCT((data!$A$2:$A$257=$A33)*(data!$G$2:$G$257=M$1)*data!$E$2:$E$257)+SUMPRODUCT((data!$B$2:$B$257=$A33)*(data!$H$2:$H$257=M$1)*data!$F$2:$F$257)</f>
        <v>-1</v>
      </c>
      <c r="N33" s="4">
        <f>SUMPRODUCT((data!$A$2:$A$257=$A33)*(data!$G$2:$G$257=N$1)*data!$E$2:$E$257)+SUMPRODUCT((data!$B$2:$B$257=$A33)*(data!$H$2:$H$257=N$1)*data!$F$2:$F$257)</f>
        <v>1</v>
      </c>
      <c r="O33" s="4">
        <f>SUMPRODUCT((data!$A$2:$A$257=$A33)*(data!$G$2:$G$257=O$1)*data!$E$2:$E$257)+SUMPRODUCT((data!$B$2:$B$257=$A33)*(data!$H$2:$H$257=O$1)*data!$F$2:$F$257)</f>
        <v>-1</v>
      </c>
      <c r="P33" s="4">
        <f>SUMPRODUCT((data!$A$2:$A$257=$A33)*(data!$G$2:$G$257=P$1)*data!$E$2:$E$257)+SUMPRODUCT((data!$B$2:$B$257=$A33)*(data!$H$2:$H$257=P$1)*data!$F$2:$F$257)</f>
        <v>-1</v>
      </c>
      <c r="Q33" s="4">
        <f>SUMPRODUCT((data!$A$2:$A$257=$A33)*(data!$G$2:$G$257=Q$1)*data!$E$2:$E$257)+SUMPRODUCT((data!$B$2:$B$257=$A33)*(data!$H$2:$H$257=Q$1)*data!$F$2:$F$257)</f>
        <v>-1</v>
      </c>
      <c r="S33">
        <f>COUNTIF(B33:Q33,1)</f>
        <v>4</v>
      </c>
      <c r="T33">
        <f>COUNTIF(B33:Q33,-1)</f>
        <v>12</v>
      </c>
    </row>
    <row r="35">
      <c r="A35" s="6" t="inlineStr">
        <is>
          <t>Total</t>
        </is>
      </c>
      <c r="S35" s="3">
        <f>SUM(S2:S33)</f>
        <v>256</v>
      </c>
      <c r="T35" s="3">
        <f>SUM(T2:T33)</f>
        <v>256</v>
      </c>
    </row>
    <row r="36">
      <c r="A36" s="5" t="str">
        <f>"Check: number of games in data = "&amp;COUNTA(data!A2:A257)&amp;" - total wins and total losses must both be equal to it"</f>
        <v>Check: number of games in data = 256 - total wins and total losses must both be equal to it</v>
      </c>
    </row>
    <row r="38">
      <c r="A38" s="5" t="inlineStr">
        <is>
          <t>How it was done: on the data sheet, helper columns E:F give each game's result for the home and away team (1 = win, -1 = loss) and columns G:H give the game number of each team (running COUNTIF).</t>
        </is>
      </c>
    </row>
    <row r="39">
      <c r="A39" s="5" t="inlineStr">
        <is>
          <t>Each cell in B:Q picks the team's n-th game with SUMPRODUCT; column R is a Win/Loss sparkline over B:Q (Insert &gt; Sparklines &gt; Win/Loss), and B:Q are coloured with conditional formatting.</t>
        </is>
      </c>
    </row>
  </sheetData>
  <conditionalFormatting sqref="B2:Q33">
    <cfRule type="cellIs" dxfId="0" priority="1" operator="equal">
      <formula>1</formula>
    </cfRule>
    <cfRule type="cellIs" dxfId="1" priority="2" operator="equal">
      <formula>-1</formula>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type="stacked" displayEmptyCellsAs="gap" negative="1">
          <x14:colorSeries rgb="FF376092"/>
          <x14:colorNegative rgb="FFD00000"/>
          <x14:colorAxis rgb="FF000000"/>
          <x14:colorMarkers rgb="FFD00000"/>
          <x14:colorFirst rgb="FFD00000"/>
          <x14:colorLast rgb="FFD00000"/>
          <x14:colorHigh rgb="FFD00000"/>
          <x14:colorLow rgb="FFD00000"/>
          <x14:sparklines>
            <x14:sparkline>
              <xm:f>result!B2:Q2</xm:f>
              <xm:sqref>R2</xm:sqref>
            </x14:sparkline>
            <x14:sparkline>
              <xm:f>result!B3:Q3</xm:f>
              <xm:sqref>R3</xm:sqref>
            </x14:sparkline>
            <x14:sparkline>
              <xm:f>result!B4:Q4</xm:f>
              <xm:sqref>R4</xm:sqref>
            </x14:sparkline>
            <x14:sparkline>
              <xm:f>result!B5:Q5</xm:f>
              <xm:sqref>R5</xm:sqref>
            </x14:sparkline>
            <x14:sparkline>
              <xm:f>result!B6:Q6</xm:f>
              <xm:sqref>R6</xm:sqref>
            </x14:sparkline>
            <x14:sparkline>
              <xm:f>result!B7:Q7</xm:f>
              <xm:sqref>R7</xm:sqref>
            </x14:sparkline>
            <x14:sparkline>
              <xm:f>result!B8:Q8</xm:f>
              <xm:sqref>R8</xm:sqref>
            </x14:sparkline>
            <x14:sparkline>
              <xm:f>result!B9:Q9</xm:f>
              <xm:sqref>R9</xm:sqref>
            </x14:sparkline>
            <x14:sparkline>
              <xm:f>result!B10:Q10</xm:f>
              <xm:sqref>R10</xm:sqref>
            </x14:sparkline>
            <x14:sparkline>
              <xm:f>result!B11:Q11</xm:f>
              <xm:sqref>R11</xm:sqref>
            </x14:sparkline>
            <x14:sparkline>
              <xm:f>result!B12:Q12</xm:f>
              <xm:sqref>R12</xm:sqref>
            </x14:sparkline>
            <x14:sparkline>
              <xm:f>result!B13:Q13</xm:f>
              <xm:sqref>R13</xm:sqref>
            </x14:sparkline>
            <x14:sparkline>
              <xm:f>result!B14:Q14</xm:f>
              <xm:sqref>R14</xm:sqref>
            </x14:sparkline>
            <x14:sparkline>
              <xm:f>result!B15:Q15</xm:f>
              <xm:sqref>R15</xm:sqref>
            </x14:sparkline>
            <x14:sparkline>
              <xm:f>result!B16:Q16</xm:f>
              <xm:sqref>R16</xm:sqref>
            </x14:sparkline>
            <x14:sparkline>
              <xm:f>result!B17:Q17</xm:f>
              <xm:sqref>R17</xm:sqref>
            </x14:sparkline>
            <x14:sparkline>
              <xm:f>result!B18:Q18</xm:f>
              <xm:sqref>R18</xm:sqref>
            </x14:sparkline>
            <x14:sparkline>
              <xm:f>result!B19:Q19</xm:f>
              <xm:sqref>R19</xm:sqref>
            </x14:sparkline>
            <x14:sparkline>
              <xm:f>result!B20:Q20</xm:f>
              <xm:sqref>R20</xm:sqref>
            </x14:sparkline>
            <x14:sparkline>
              <xm:f>result!B21:Q21</xm:f>
              <xm:sqref>R21</xm:sqref>
            </x14:sparkline>
            <x14:sparkline>
              <xm:f>result!B22:Q22</xm:f>
              <xm:sqref>R22</xm:sqref>
            </x14:sparkline>
            <x14:sparkline>
              <xm:f>result!B23:Q23</xm:f>
              <xm:sqref>R23</xm:sqref>
            </x14:sparkline>
            <x14:sparkline>
              <xm:f>result!B24:Q24</xm:f>
              <xm:sqref>R24</xm:sqref>
            </x14:sparkline>
            <x14:sparkline>
              <xm:f>result!B25:Q25</xm:f>
              <xm:sqref>R25</xm:sqref>
            </x14:sparkline>
            <x14:sparkline>
              <xm:f>result!B26:Q26</xm:f>
              <xm:sqref>R26</xm:sqref>
            </x14:sparkline>
            <x14:sparkline>
              <xm:f>result!B27:Q27</xm:f>
              <xm:sqref>R27</xm:sqref>
            </x14:sparkline>
            <x14:sparkline>
              <xm:f>result!B28:Q28</xm:f>
              <xm:sqref>R28</xm:sqref>
            </x14:sparkline>
            <x14:sparkline>
              <xm:f>result!B29:Q29</xm:f>
              <xm:sqref>R29</xm:sqref>
            </x14:sparkline>
            <x14:sparkline>
              <xm:f>result!B30:Q30</xm:f>
              <xm:sqref>R30</xm:sqref>
            </x14:sparkline>
            <x14:sparkline>
              <xm:f>result!B31:Q31</xm:f>
              <xm:sqref>R31</xm:sqref>
            </x14:sparkline>
            <x14:sparkline>
              <xm:f>result!B32:Q32</xm:f>
              <xm:sqref>R32</xm:sqref>
            </x14:sparkline>
            <x14:sparkline>
              <xm:f>result!B33:Q33</xm:f>
              <xm:sqref>R33</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vt:lpstr>
      <vt:lpstr>data</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winston</dc:creator>
  <cp:lastModifiedBy>User</cp:lastModifiedBy>
  <dcterms:created xsi:type="dcterms:W3CDTF">2010-08-10T15:02:42Z</dcterms:created>
  <dcterms:modified xsi:type="dcterms:W3CDTF">2026-09-09T11:00:35Z</dcterms:modified>
</cp:coreProperties>
</file>